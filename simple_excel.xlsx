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7857805F-356C-4E59-A554-9C31463DC6D7}" xr6:coauthVersionLast="47" xr6:coauthVersionMax="47" xr10:uidLastSave="{00000000-0000-0000-0000-000000000000}"/>
  <bookViews>
    <workbookView xWindow="-110" yWindow="-110" windowWidth="19420" windowHeight="10300" xr2:uid="{00000000-000D-0000-FFFF-FFFF00000000}"/>
  </bookViews>
  <sheets>
    <sheet name="Sheet3" sheetId="3" r:id="rId1"/>
  </sheets>
  <definedNames>
    <definedName name="ExternalData_1" localSheetId="0" hidden="1">Sheet3!$A$1:$M$101</definedName>
    <definedName name="Slicer_CLAIM_STATUS">#N/A</definedName>
    <definedName name="Slicer_INSURANCE_COMPANY_NAME">#N/A</definedName>
    <definedName name="Slicer_INSURANCE_TYPE">#N/A</definedName>
    <definedName name="Slicer_PolicyAg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3" i="3" l="1"/>
  <c r="Q7" i="3"/>
  <c r="N2" i="3"/>
  <c r="N3" i="3"/>
  <c r="N4" i="3"/>
  <c r="N5" i="3"/>
  <c r="N6" i="3"/>
  <c r="N7" i="3"/>
  <c r="Q8" i="3" s="1"/>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Q1"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Insurance_Dataset (3)" description="Connection to the 'Insurance_Dataset (3)' query in the workbook." type="5" refreshedVersion="6" background="1" saveData="1">
    <dbPr connection="Provider=Microsoft.Mashup.OleDb.1;Data Source=$Workbook$;Location=Insurance_Dataset (3);Extended Properties=&quot;&quot;" command="SELECT * FROM [Insurance_Dataset (3)]"/>
  </connection>
  <connection id="2" xr16:uid="{00000000-0015-0000-FFFF-FFFF01000000}" keepAlive="1" name="Query - Total_Premim_Paid" description="Connection to the 'Total_Premim_Paid' query in the workbook." type="5" refreshedVersion="6" background="1" saveData="1">
    <dbPr connection="Provider=Microsoft.Mashup.OleDb.1;Data Source=$Workbook$;Location=Total_Premim_Paid;Extended Properties=&quot;&quot;" command="SELECT * FROM [Total_Premim_Paid]"/>
  </connection>
</connections>
</file>

<file path=xl/sharedStrings.xml><?xml version="1.0" encoding="utf-8"?>
<sst xmlns="http://schemas.openxmlformats.org/spreadsheetml/2006/main" count="618" uniqueCount="331">
  <si>
    <t>POLICY_NUMBER</t>
  </si>
  <si>
    <t>REGISTRATION_DATE</t>
  </si>
  <si>
    <t>CUSTOMER_NAME</t>
  </si>
  <si>
    <t>DOB</t>
  </si>
  <si>
    <t>INSURANCE_TYPE</t>
  </si>
  <si>
    <t>PREMIUM_AMOUNT</t>
  </si>
  <si>
    <t>LAST_PAYMENT_DATE</t>
  </si>
  <si>
    <t>CLAIM_NO</t>
  </si>
  <si>
    <t>CLAIM_DATE</t>
  </si>
  <si>
    <t>CLAIM_STATUS</t>
  </si>
  <si>
    <t>CLAIM_PAID_AMOUNT</t>
  </si>
  <si>
    <t>INSURANCE_COMPANY_NAME</t>
  </si>
  <si>
    <t>P000000</t>
  </si>
  <si>
    <t>Michelle Lewis</t>
  </si>
  <si>
    <t>Home</t>
  </si>
  <si>
    <t>C000000</t>
  </si>
  <si>
    <t>Approved</t>
  </si>
  <si>
    <t>Unity Cover</t>
  </si>
  <si>
    <t>P000001</t>
  </si>
  <si>
    <t>Megan Garcia</t>
  </si>
  <si>
    <t>Travel</t>
  </si>
  <si>
    <t>C000001</t>
  </si>
  <si>
    <t>P000002</t>
  </si>
  <si>
    <t>Alexander Vasquez</t>
  </si>
  <si>
    <t>Life</t>
  </si>
  <si>
    <t>C000002</t>
  </si>
  <si>
    <t>Global Assurance</t>
  </si>
  <si>
    <t>P000003</t>
  </si>
  <si>
    <t>Christopher Sanchez</t>
  </si>
  <si>
    <t>Health</t>
  </si>
  <si>
    <t>C000003</t>
  </si>
  <si>
    <t>Rejected</t>
  </si>
  <si>
    <t>Skyline Insurance</t>
  </si>
  <si>
    <t>P000004</t>
  </si>
  <si>
    <t>Taylor Smith</t>
  </si>
  <si>
    <t>C000004</t>
  </si>
  <si>
    <t>P000005</t>
  </si>
  <si>
    <t>Jessica Cruz</t>
  </si>
  <si>
    <t>C000005</t>
  </si>
  <si>
    <t>P000006</t>
  </si>
  <si>
    <t>Antonio Thompson</t>
  </si>
  <si>
    <t>C000006</t>
  </si>
  <si>
    <t>P000007</t>
  </si>
  <si>
    <t>Bruce Bishop</t>
  </si>
  <si>
    <t>C000007</t>
  </si>
  <si>
    <t>Shield Mutual</t>
  </si>
  <si>
    <t>P000008</t>
  </si>
  <si>
    <t>Ian Clay</t>
  </si>
  <si>
    <t>C000008</t>
  </si>
  <si>
    <t>Pending</t>
  </si>
  <si>
    <t>P000009</t>
  </si>
  <si>
    <t>Paula Garcia</t>
  </si>
  <si>
    <t>C000009</t>
  </si>
  <si>
    <t>P000010</t>
  </si>
  <si>
    <t>Kristen Clay</t>
  </si>
  <si>
    <t>C000010</t>
  </si>
  <si>
    <t>P000011</t>
  </si>
  <si>
    <t>Kelly Fitzpatrick</t>
  </si>
  <si>
    <t>C000011</t>
  </si>
  <si>
    <t>P000012</t>
  </si>
  <si>
    <t>Carrie Ali</t>
  </si>
  <si>
    <t>C000012</t>
  </si>
  <si>
    <t>Apex Insurance Co.</t>
  </si>
  <si>
    <t>P000013</t>
  </si>
  <si>
    <t>Jonathan Fox</t>
  </si>
  <si>
    <t>C000013</t>
  </si>
  <si>
    <t>P000014</t>
  </si>
  <si>
    <t>April Clarke</t>
  </si>
  <si>
    <t>Auto</t>
  </si>
  <si>
    <t>C000014</t>
  </si>
  <si>
    <t>P000015</t>
  </si>
  <si>
    <t>Jonathan Johnson</t>
  </si>
  <si>
    <t>C000015</t>
  </si>
  <si>
    <t>P000016</t>
  </si>
  <si>
    <t>Heather Baird</t>
  </si>
  <si>
    <t>C000016</t>
  </si>
  <si>
    <t>P000017</t>
  </si>
  <si>
    <t>Alexander Thompson</t>
  </si>
  <si>
    <t>C000017</t>
  </si>
  <si>
    <t>P000018</t>
  </si>
  <si>
    <t>Mark Garcia</t>
  </si>
  <si>
    <t>C000018</t>
  </si>
  <si>
    <t>P000019</t>
  </si>
  <si>
    <t>Rebecca Martin</t>
  </si>
  <si>
    <t>C000019</t>
  </si>
  <si>
    <t>P000020</t>
  </si>
  <si>
    <t>Daniel Cooper</t>
  </si>
  <si>
    <t>C000020</t>
  </si>
  <si>
    <t>P000021</t>
  </si>
  <si>
    <t>Kevin Moore</t>
  </si>
  <si>
    <t>C000021</t>
  </si>
  <si>
    <t>P000022</t>
  </si>
  <si>
    <t>Gloria Peters</t>
  </si>
  <si>
    <t>C000022</t>
  </si>
  <si>
    <t>P000023</t>
  </si>
  <si>
    <t>Austin Sutton</t>
  </si>
  <si>
    <t>C000023</t>
  </si>
  <si>
    <t>P000024</t>
  </si>
  <si>
    <t>Dr. Timothy Aguilar</t>
  </si>
  <si>
    <t>C000024</t>
  </si>
  <si>
    <t>P000025</t>
  </si>
  <si>
    <t>Joshua Patterson</t>
  </si>
  <si>
    <t>C000025</t>
  </si>
  <si>
    <t>P000026</t>
  </si>
  <si>
    <t>Gregory Davila</t>
  </si>
  <si>
    <t>C000026</t>
  </si>
  <si>
    <t>P000027</t>
  </si>
  <si>
    <t>Denise Macdonald</t>
  </si>
  <si>
    <t>C000027</t>
  </si>
  <si>
    <t>P000028</t>
  </si>
  <si>
    <t>Samantha Perez</t>
  </si>
  <si>
    <t>C000028</t>
  </si>
  <si>
    <t>P000029</t>
  </si>
  <si>
    <t>Katherine Bender</t>
  </si>
  <si>
    <t>C000029</t>
  </si>
  <si>
    <t>P000030</t>
  </si>
  <si>
    <t>Scott Nelson</t>
  </si>
  <si>
    <t>C000030</t>
  </si>
  <si>
    <t>P000031</t>
  </si>
  <si>
    <t>Danielle Nelson</t>
  </si>
  <si>
    <t>C000031</t>
  </si>
  <si>
    <t>P000032</t>
  </si>
  <si>
    <t>Daniel Ramsey</t>
  </si>
  <si>
    <t>C000032</t>
  </si>
  <si>
    <t>P000033</t>
  </si>
  <si>
    <t>Robert Hernandez</t>
  </si>
  <si>
    <t>C000033</t>
  </si>
  <si>
    <t>P000034</t>
  </si>
  <si>
    <t>Jose Williams</t>
  </si>
  <si>
    <t>C000034</t>
  </si>
  <si>
    <t>P000035</t>
  </si>
  <si>
    <t>David Ray</t>
  </si>
  <si>
    <t>C000035</t>
  </si>
  <si>
    <t>P000036</t>
  </si>
  <si>
    <t>Shawn Gates</t>
  </si>
  <si>
    <t>C000036</t>
  </si>
  <si>
    <t>P000037</t>
  </si>
  <si>
    <t>Don Owens</t>
  </si>
  <si>
    <t>C000037</t>
  </si>
  <si>
    <t>P000038</t>
  </si>
  <si>
    <t>Brian Smith</t>
  </si>
  <si>
    <t>C000038</t>
  </si>
  <si>
    <t>P000039</t>
  </si>
  <si>
    <t>Marc Roberts</t>
  </si>
  <si>
    <t>C000039</t>
  </si>
  <si>
    <t>P000040</t>
  </si>
  <si>
    <t>Becky Hernandez</t>
  </si>
  <si>
    <t>C000040</t>
  </si>
  <si>
    <t>P000041</t>
  </si>
  <si>
    <t>Alexandra Lucas</t>
  </si>
  <si>
    <t>C000041</t>
  </si>
  <si>
    <t>P000042</t>
  </si>
  <si>
    <t>Gerald Mooney</t>
  </si>
  <si>
    <t>C000042</t>
  </si>
  <si>
    <t>P000043</t>
  </si>
  <si>
    <t>John Chen</t>
  </si>
  <si>
    <t>C000043</t>
  </si>
  <si>
    <t>P000044</t>
  </si>
  <si>
    <t>Lynn Hayes</t>
  </si>
  <si>
    <t>C000044</t>
  </si>
  <si>
    <t>P000045</t>
  </si>
  <si>
    <t>Ashley Bauer</t>
  </si>
  <si>
    <t>C000045</t>
  </si>
  <si>
    <t>P000046</t>
  </si>
  <si>
    <t>Jill Galloway</t>
  </si>
  <si>
    <t>C000046</t>
  </si>
  <si>
    <t>P000047</t>
  </si>
  <si>
    <t>Christopher Sullivan</t>
  </si>
  <si>
    <t>C000047</t>
  </si>
  <si>
    <t>P000048</t>
  </si>
  <si>
    <t>Jacob Dean</t>
  </si>
  <si>
    <t>C000048</t>
  </si>
  <si>
    <t>P000049</t>
  </si>
  <si>
    <t>Jacqueline Morgan</t>
  </si>
  <si>
    <t>C000049</t>
  </si>
  <si>
    <t>P000050</t>
  </si>
  <si>
    <t>Abigail Casey</t>
  </si>
  <si>
    <t>C000050</t>
  </si>
  <si>
    <t>P000051</t>
  </si>
  <si>
    <t>Andrea Alvarado</t>
  </si>
  <si>
    <t>C000051</t>
  </si>
  <si>
    <t>P000052</t>
  </si>
  <si>
    <t>Tara Miller</t>
  </si>
  <si>
    <t>C000052</t>
  </si>
  <si>
    <t>P000053</t>
  </si>
  <si>
    <t>Ricky Vasquez</t>
  </si>
  <si>
    <t>C000053</t>
  </si>
  <si>
    <t>P000054</t>
  </si>
  <si>
    <t>Taylor Aguirre</t>
  </si>
  <si>
    <t>C000054</t>
  </si>
  <si>
    <t>P000055</t>
  </si>
  <si>
    <t>William Stone</t>
  </si>
  <si>
    <t>C000055</t>
  </si>
  <si>
    <t>P000056</t>
  </si>
  <si>
    <t>Melissa Bradshaw</t>
  </si>
  <si>
    <t>C000056</t>
  </si>
  <si>
    <t>P000057</t>
  </si>
  <si>
    <t>Anthony Kane</t>
  </si>
  <si>
    <t>C000057</t>
  </si>
  <si>
    <t>P000058</t>
  </si>
  <si>
    <t>Aaron Rangel</t>
  </si>
  <si>
    <t>C000058</t>
  </si>
  <si>
    <t>P000059</t>
  </si>
  <si>
    <t>Amanda Wilkins</t>
  </si>
  <si>
    <t>C000059</t>
  </si>
  <si>
    <t>P000060</t>
  </si>
  <si>
    <t>Michael Davis</t>
  </si>
  <si>
    <t>C000060</t>
  </si>
  <si>
    <t>P000061</t>
  </si>
  <si>
    <t>Jacqueline Quinn</t>
  </si>
  <si>
    <t>C000061</t>
  </si>
  <si>
    <t>P000062</t>
  </si>
  <si>
    <t>Jamie Ellis</t>
  </si>
  <si>
    <t>C000062</t>
  </si>
  <si>
    <t>P000063</t>
  </si>
  <si>
    <t>Gloria Lee</t>
  </si>
  <si>
    <t>C000063</t>
  </si>
  <si>
    <t>P000064</t>
  </si>
  <si>
    <t>James Campbell</t>
  </si>
  <si>
    <t>C000064</t>
  </si>
  <si>
    <t>P000065</t>
  </si>
  <si>
    <t>Nicholas Dixon</t>
  </si>
  <si>
    <t>C000065</t>
  </si>
  <si>
    <t>P000066</t>
  </si>
  <si>
    <t>Tommy Kelly</t>
  </si>
  <si>
    <t>C000066</t>
  </si>
  <si>
    <t>P000067</t>
  </si>
  <si>
    <t>Mrs. Madison Thomas PhD</t>
  </si>
  <si>
    <t>C000067</t>
  </si>
  <si>
    <t>P000068</t>
  </si>
  <si>
    <t>Chase Campos</t>
  </si>
  <si>
    <t>C000068</t>
  </si>
  <si>
    <t>P000069</t>
  </si>
  <si>
    <t>Dr. Michelle Jones</t>
  </si>
  <si>
    <t>C000069</t>
  </si>
  <si>
    <t>P000070</t>
  </si>
  <si>
    <t>Jennifer Hensley</t>
  </si>
  <si>
    <t>C000070</t>
  </si>
  <si>
    <t>P000071</t>
  </si>
  <si>
    <t>Patricia Stokes</t>
  </si>
  <si>
    <t>C000071</t>
  </si>
  <si>
    <t>P000072</t>
  </si>
  <si>
    <t>Tammy Ellis</t>
  </si>
  <si>
    <t>C000072</t>
  </si>
  <si>
    <t>P000073</t>
  </si>
  <si>
    <t>Michael Thomas</t>
  </si>
  <si>
    <t>C000073</t>
  </si>
  <si>
    <t>P000074</t>
  </si>
  <si>
    <t>Ann Vaughan</t>
  </si>
  <si>
    <t>C000074</t>
  </si>
  <si>
    <t>P000075</t>
  </si>
  <si>
    <t>Sarah Hodges</t>
  </si>
  <si>
    <t>C000075</t>
  </si>
  <si>
    <t>P000076</t>
  </si>
  <si>
    <t>Lindsay Phillips</t>
  </si>
  <si>
    <t>C000076</t>
  </si>
  <si>
    <t>P000077</t>
  </si>
  <si>
    <t>Jamie Harding</t>
  </si>
  <si>
    <t>C000077</t>
  </si>
  <si>
    <t>P000078</t>
  </si>
  <si>
    <t>Joshua Bush</t>
  </si>
  <si>
    <t>C000078</t>
  </si>
  <si>
    <t>P000079</t>
  </si>
  <si>
    <t>Maria Sosa</t>
  </si>
  <si>
    <t>C000079</t>
  </si>
  <si>
    <t>P000080</t>
  </si>
  <si>
    <t>Dakota Chambers</t>
  </si>
  <si>
    <t>C000080</t>
  </si>
  <si>
    <t>P000081</t>
  </si>
  <si>
    <t>David George</t>
  </si>
  <si>
    <t>C000081</t>
  </si>
  <si>
    <t>P000082</t>
  </si>
  <si>
    <t>Kim Smith</t>
  </si>
  <si>
    <t>C000082</t>
  </si>
  <si>
    <t>P000083</t>
  </si>
  <si>
    <t>Nicole Martin</t>
  </si>
  <si>
    <t>C000083</t>
  </si>
  <si>
    <t>P000084</t>
  </si>
  <si>
    <t>Erin Reeves</t>
  </si>
  <si>
    <t>C000084</t>
  </si>
  <si>
    <t>P000085</t>
  </si>
  <si>
    <t>Amanda Ferguson</t>
  </si>
  <si>
    <t>C000085</t>
  </si>
  <si>
    <t>P000086</t>
  </si>
  <si>
    <t>Dylan Frey</t>
  </si>
  <si>
    <t>C000086</t>
  </si>
  <si>
    <t>P000087</t>
  </si>
  <si>
    <t>Deborah Friedman</t>
  </si>
  <si>
    <t>C000087</t>
  </si>
  <si>
    <t>P000088</t>
  </si>
  <si>
    <t>Terry Brown</t>
  </si>
  <si>
    <t>C000088</t>
  </si>
  <si>
    <t>P000089</t>
  </si>
  <si>
    <t>Jordan Martinez</t>
  </si>
  <si>
    <t>C000089</t>
  </si>
  <si>
    <t>P000090</t>
  </si>
  <si>
    <t>Michelle Maldonado</t>
  </si>
  <si>
    <t>C000090</t>
  </si>
  <si>
    <t>P000091</t>
  </si>
  <si>
    <t>Anthony George</t>
  </si>
  <si>
    <t>C000091</t>
  </si>
  <si>
    <t>P000092</t>
  </si>
  <si>
    <t>Brian Reynolds</t>
  </si>
  <si>
    <t>C000092</t>
  </si>
  <si>
    <t>P000093</t>
  </si>
  <si>
    <t>Rachel Thomas</t>
  </si>
  <si>
    <t>C000093</t>
  </si>
  <si>
    <t>P000094</t>
  </si>
  <si>
    <t>Kevin Owens</t>
  </si>
  <si>
    <t>C000094</t>
  </si>
  <si>
    <t>P000095</t>
  </si>
  <si>
    <t>Derek Abbott</t>
  </si>
  <si>
    <t>C000095</t>
  </si>
  <si>
    <t>P000096</t>
  </si>
  <si>
    <t>Samantha Best</t>
  </si>
  <si>
    <t>C000096</t>
  </si>
  <si>
    <t>P000097</t>
  </si>
  <si>
    <t>Robin Bowen</t>
  </si>
  <si>
    <t>C000097</t>
  </si>
  <si>
    <t>P000098</t>
  </si>
  <si>
    <t>Richard Baker</t>
  </si>
  <si>
    <t>C000098</t>
  </si>
  <si>
    <t>P000099</t>
  </si>
  <si>
    <t>Justin Hudson</t>
  </si>
  <si>
    <t>C000099</t>
  </si>
  <si>
    <t>PolicyAge</t>
  </si>
  <si>
    <t>Total_policy_amount</t>
  </si>
  <si>
    <t>Total Premium (Filtered):</t>
  </si>
  <si>
    <t xml:space="preserve"> Number of Policies:</t>
  </si>
  <si>
    <t>Average Premium per Policy:</t>
  </si>
  <si>
    <t>Total Claims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</si>
</sst>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F800]dddd\,\ mmmm\ dd\,\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applyNumberFormat="1"/>
    <xf numFmtId="169" fontId="0" fillId="0" borderId="0" xfId="0" applyNumberFormat="1"/>
  </cellXfs>
  <cellStyles count="1">
    <cellStyle name="Normal" xfId="0" builtinId="0"/>
  </cellStyles>
  <dxfs count="17">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2.xml"/><Relationship Id="rId7" Type="http://schemas.openxmlformats.org/officeDocument/2006/relationships/connections" Target="connection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4.xml"/><Relationship Id="rId10" Type="http://schemas.openxmlformats.org/officeDocument/2006/relationships/calcChain" Target="calcChain.xml"/><Relationship Id="rId4" Type="http://schemas.microsoft.com/office/2007/relationships/slicerCache" Target="slicerCaches/slicerCache3.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7</xdr:col>
      <xdr:colOff>520700</xdr:colOff>
      <xdr:row>101</xdr:row>
      <xdr:rowOff>133349</xdr:rowOff>
    </xdr:from>
    <xdr:to>
      <xdr:col>9</xdr:col>
      <xdr:colOff>95250</xdr:colOff>
      <xdr:row>111</xdr:row>
      <xdr:rowOff>25400</xdr:rowOff>
    </xdr:to>
    <mc:AlternateContent xmlns:mc="http://schemas.openxmlformats.org/markup-compatibility/2006">
      <mc:Choice xmlns:sle15="http://schemas.microsoft.com/office/drawing/2012/slicer" Requires="sle15">
        <xdr:graphicFrame macro="">
          <xdr:nvGraphicFramePr>
            <xdr:cNvPr id="3" name="INSURANCE_TYPE">
              <a:extLst>
                <a:ext uri="{FF2B5EF4-FFF2-40B4-BE49-F238E27FC236}">
                  <a16:creationId xmlns:a16="http://schemas.microsoft.com/office/drawing/2014/main" id="{5E8EBBEF-247B-505D-AF77-BCF473F767F7}"/>
                </a:ext>
              </a:extLst>
            </xdr:cNvPr>
            <xdr:cNvGraphicFramePr/>
          </xdr:nvGraphicFramePr>
          <xdr:xfrm>
            <a:off x="0" y="0"/>
            <a:ext cx="0" cy="0"/>
          </xdr:xfrm>
          <a:graphic>
            <a:graphicData uri="http://schemas.microsoft.com/office/drawing/2010/slicer">
              <sle:slicer xmlns:sle="http://schemas.microsoft.com/office/drawing/2010/slicer" name="INSURANCE_TYPE"/>
            </a:graphicData>
          </a:graphic>
        </xdr:graphicFrame>
      </mc:Choice>
      <mc:Fallback>
        <xdr:sp macro="" textlink="">
          <xdr:nvSpPr>
            <xdr:cNvPr id="0" name=""/>
            <xdr:cNvSpPr>
              <a:spLocks noTextEdit="1"/>
            </xdr:cNvSpPr>
          </xdr:nvSpPr>
          <xdr:spPr>
            <a:xfrm>
              <a:off x="10318750" y="1790699"/>
              <a:ext cx="1485900" cy="173355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1936750</xdr:colOff>
      <xdr:row>102</xdr:row>
      <xdr:rowOff>107951</xdr:rowOff>
    </xdr:from>
    <xdr:to>
      <xdr:col>13</xdr:col>
      <xdr:colOff>552450</xdr:colOff>
      <xdr:row>110</xdr:row>
      <xdr:rowOff>82551</xdr:rowOff>
    </xdr:to>
    <mc:AlternateContent xmlns:mc="http://schemas.openxmlformats.org/markup-compatibility/2006">
      <mc:Choice xmlns:sle15="http://schemas.microsoft.com/office/drawing/2012/slicer" Requires="sle15">
        <xdr:graphicFrame macro="">
          <xdr:nvGraphicFramePr>
            <xdr:cNvPr id="4" name="CLAIM_STATUS">
              <a:extLst>
                <a:ext uri="{FF2B5EF4-FFF2-40B4-BE49-F238E27FC236}">
                  <a16:creationId xmlns:a16="http://schemas.microsoft.com/office/drawing/2014/main" id="{AF24DF2B-7774-1564-FFC1-7EA32D00B9CA}"/>
                </a:ext>
              </a:extLst>
            </xdr:cNvPr>
            <xdr:cNvGraphicFramePr/>
          </xdr:nvGraphicFramePr>
          <xdr:xfrm>
            <a:off x="0" y="0"/>
            <a:ext cx="0" cy="0"/>
          </xdr:xfrm>
          <a:graphic>
            <a:graphicData uri="http://schemas.microsoft.com/office/drawing/2010/slicer">
              <sle:slicer xmlns:sle="http://schemas.microsoft.com/office/drawing/2010/slicer" name="CLAIM_STATUS"/>
            </a:graphicData>
          </a:graphic>
        </xdr:graphicFrame>
      </mc:Choice>
      <mc:Fallback>
        <xdr:sp macro="" textlink="">
          <xdr:nvSpPr>
            <xdr:cNvPr id="0" name=""/>
            <xdr:cNvSpPr>
              <a:spLocks noTextEdit="1"/>
            </xdr:cNvSpPr>
          </xdr:nvSpPr>
          <xdr:spPr>
            <a:xfrm>
              <a:off x="16510000" y="1949451"/>
              <a:ext cx="1638300" cy="14478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685800</xdr:colOff>
      <xdr:row>101</xdr:row>
      <xdr:rowOff>120651</xdr:rowOff>
    </xdr:from>
    <xdr:to>
      <xdr:col>10</xdr:col>
      <xdr:colOff>1143000</xdr:colOff>
      <xdr:row>111</xdr:row>
      <xdr:rowOff>12701</xdr:rowOff>
    </xdr:to>
    <mc:AlternateContent xmlns:mc="http://schemas.openxmlformats.org/markup-compatibility/2006">
      <mc:Choice xmlns:sle15="http://schemas.microsoft.com/office/drawing/2012/slicer" Requires="sle15">
        <xdr:graphicFrame macro="">
          <xdr:nvGraphicFramePr>
            <xdr:cNvPr id="5" name="INSURANCE_COMPANY_NAME">
              <a:extLst>
                <a:ext uri="{FF2B5EF4-FFF2-40B4-BE49-F238E27FC236}">
                  <a16:creationId xmlns:a16="http://schemas.microsoft.com/office/drawing/2014/main" id="{49E1FEC5-58D4-C6C0-89E7-B733D493D989}"/>
                </a:ext>
              </a:extLst>
            </xdr:cNvPr>
            <xdr:cNvGraphicFramePr/>
          </xdr:nvGraphicFramePr>
          <xdr:xfrm>
            <a:off x="0" y="0"/>
            <a:ext cx="0" cy="0"/>
          </xdr:xfrm>
          <a:graphic>
            <a:graphicData uri="http://schemas.microsoft.com/office/drawing/2010/slicer">
              <sle:slicer xmlns:sle="http://schemas.microsoft.com/office/drawing/2010/slicer" name="INSURANCE_COMPANY_NAME"/>
            </a:graphicData>
          </a:graphic>
        </xdr:graphicFrame>
      </mc:Choice>
      <mc:Fallback>
        <xdr:sp macro="" textlink="">
          <xdr:nvSpPr>
            <xdr:cNvPr id="0" name=""/>
            <xdr:cNvSpPr>
              <a:spLocks noTextEdit="1"/>
            </xdr:cNvSpPr>
          </xdr:nvSpPr>
          <xdr:spPr>
            <a:xfrm>
              <a:off x="12395200" y="1778001"/>
              <a:ext cx="1631950" cy="17335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1549400</xdr:colOff>
      <xdr:row>101</xdr:row>
      <xdr:rowOff>63501</xdr:rowOff>
    </xdr:from>
    <xdr:to>
      <xdr:col>11</xdr:col>
      <xdr:colOff>1555750</xdr:colOff>
      <xdr:row>112</xdr:row>
      <xdr:rowOff>19051</xdr:rowOff>
    </xdr:to>
    <mc:AlternateContent xmlns:mc="http://schemas.openxmlformats.org/markup-compatibility/2006">
      <mc:Choice xmlns:sle15="http://schemas.microsoft.com/office/drawing/2012/slicer" Requires="sle15">
        <xdr:graphicFrame macro="">
          <xdr:nvGraphicFramePr>
            <xdr:cNvPr id="6" name="PolicyAge">
              <a:extLst>
                <a:ext uri="{FF2B5EF4-FFF2-40B4-BE49-F238E27FC236}">
                  <a16:creationId xmlns:a16="http://schemas.microsoft.com/office/drawing/2014/main" id="{A4A840CF-3FE0-1766-4201-C7FD92731CF1}"/>
                </a:ext>
              </a:extLst>
            </xdr:cNvPr>
            <xdr:cNvGraphicFramePr/>
          </xdr:nvGraphicFramePr>
          <xdr:xfrm>
            <a:off x="0" y="0"/>
            <a:ext cx="0" cy="0"/>
          </xdr:xfrm>
          <a:graphic>
            <a:graphicData uri="http://schemas.microsoft.com/office/drawing/2010/slicer">
              <sle:slicer xmlns:sle="http://schemas.microsoft.com/office/drawing/2010/slicer" name="PolicyAge"/>
            </a:graphicData>
          </a:graphic>
        </xdr:graphicFrame>
      </mc:Choice>
      <mc:Fallback>
        <xdr:sp macro="" textlink="">
          <xdr:nvSpPr>
            <xdr:cNvPr id="0" name=""/>
            <xdr:cNvSpPr>
              <a:spLocks noTextEdit="1"/>
            </xdr:cNvSpPr>
          </xdr:nvSpPr>
          <xdr:spPr>
            <a:xfrm>
              <a:off x="14433550" y="1720851"/>
              <a:ext cx="1695450" cy="19812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0" applyNumberFormats="0" applyBorderFormats="0" applyFontFormats="1" applyPatternFormats="1" applyAlignmentFormats="0" applyWidthHeightFormats="0">
  <queryTableRefresh preserveSortFilterLayout="0" nextId="16" unboundColumnsRight="1">
    <queryTableFields count="14">
      <queryTableField id="1" name="POLICY_NUMBER" tableColumnId="29"/>
      <queryTableField id="2" name="REGISTRATION_DATE" tableColumnId="30"/>
      <queryTableField id="3" name="CUSTOMER_NAME" tableColumnId="31"/>
      <queryTableField id="4" name="DOB" tableColumnId="32"/>
      <queryTableField id="5" name="INSURANCE_TYPE" tableColumnId="33"/>
      <queryTableField id="6" name="PREMIUM_AMOUNT" tableColumnId="34"/>
      <queryTableField id="7" name="LAST_PAYMENT_DATE" tableColumnId="35"/>
      <queryTableField id="8" name="CLAIM_NO" tableColumnId="36"/>
      <queryTableField id="9" name="CLAIM_DATE" tableColumnId="37"/>
      <queryTableField id="10" name="CLAIM_STATUS" tableColumnId="38"/>
      <queryTableField id="11" name="CLAIM_PAID_AMOUNT" tableColumnId="39"/>
      <queryTableField id="12" name="INSURANCE_COMPANY_NAME" tableColumnId="40"/>
      <queryTableField id="13" name="PolicyAge" tableColumnId="41"/>
      <queryTableField id="15" dataBound="0" tableColumnId="2"/>
    </queryTableFields>
    <queryTableDeletedFields count="1">
      <deletedField name="Total_Premim_Pa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2A00CED2-7F1B-4D8C-9160-3817306ACE15}" sourceName="INSURANCE_TYPE">
  <extLst>
    <x:ext xmlns:x15="http://schemas.microsoft.com/office/spreadsheetml/2010/11/main" uri="{2F2917AC-EB37-4324-AD4E-5DD8C200BD13}">
      <x15:tableSlicerCache tableId="2" column="3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67EE5BB2-354F-427B-9546-0659E63571D6}" sourceName="CLAIM_STATUS">
  <extLst>
    <x:ext xmlns:x15="http://schemas.microsoft.com/office/spreadsheetml/2010/11/main" uri="{2F2917AC-EB37-4324-AD4E-5DD8C200BD13}">
      <x15:tableSlicerCache tableId="2" column="3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COMPANY_NAME" xr10:uid="{747088BE-C0BB-4E88-8D6E-3489A71ED090}" sourceName="INSURANCE_COMPANY_NAME">
  <extLst>
    <x:ext xmlns:x15="http://schemas.microsoft.com/office/spreadsheetml/2010/11/main" uri="{2F2917AC-EB37-4324-AD4E-5DD8C200BD13}">
      <x15:tableSlicerCache tableId="2" column="40"/>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Age" xr10:uid="{A4CFB5FF-E047-470B-A417-F0CE020851F3}" sourceName="PolicyAge">
  <extLst>
    <x:ext xmlns:x15="http://schemas.microsoft.com/office/spreadsheetml/2010/11/main" uri="{2F2917AC-EB37-4324-AD4E-5DD8C200BD13}">
      <x15:tableSlicerCache tableId="2" column="4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URANCE_TYPE" xr10:uid="{89DDA203-D634-4B07-9E6F-92B4BE662593}" cache="Slicer_INSURANCE_TYPE" caption="INSURANCE_TYPE" style="SlicerStyleDark5" rowHeight="241300"/>
  <slicer name="CLAIM_STATUS" xr10:uid="{6F909B17-0894-4371-A0E9-1F8CB38359EC}" cache="Slicer_CLAIM_STATUS" caption="CLAIM_STATUS" style="SlicerStyleDark4" rowHeight="241300"/>
  <slicer name="INSURANCE_COMPANY_NAME" xr10:uid="{73DAC8C3-4158-40F4-A531-BA738E7DAD47}" cache="Slicer_INSURANCE_COMPANY_NAME" caption="INSURANCE_COMPANY_NAME" style="SlicerStyleDark4" rowHeight="241300"/>
  <slicer name="PolicyAge" xr10:uid="{AA5C259B-A71E-43CB-ADB9-C4AE446C9F80}" cache="Slicer_PolicyAge" caption="PolicyAge"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Insurance_Dataset__3" displayName="Insurance_Dataset__3" ref="A1:N101" tableType="queryTable" totalsRowShown="0">
  <autoFilter ref="A1:N101" xr:uid="{00000000-0009-0000-0100-000002000000}">
    <filterColumn colId="4">
      <filters>
        <filter val="Auto"/>
        <filter val="Home"/>
        <filter val="Life"/>
        <filter val="Travel"/>
      </filters>
    </filterColumn>
    <filterColumn colId="9">
      <filters>
        <filter val="Approved"/>
        <filter val="Rejected"/>
      </filters>
    </filterColumn>
    <filterColumn colId="11">
      <filters>
        <filter val="Apex Insurance Co."/>
        <filter val="Global Assurance"/>
        <filter val="Skyline Insurance"/>
        <filter val="Unity Cover"/>
      </filters>
    </filterColumn>
    <filterColumn colId="12">
      <filters>
        <filter val="4"/>
        <filter val="5"/>
        <filter val="6"/>
        <filter val="7"/>
      </filters>
    </filterColumn>
  </autoFilter>
  <tableColumns count="14">
    <tableColumn id="29" xr3:uid="{00000000-0010-0000-0000-00001D000000}" uniqueName="29" name="POLICY_NUMBER" queryTableFieldId="1" dataDxfId="16"/>
    <tableColumn id="30" xr3:uid="{00000000-0010-0000-0000-00001E000000}" uniqueName="30" name="REGISTRATION_DATE" queryTableFieldId="2" dataDxfId="15"/>
    <tableColumn id="31" xr3:uid="{00000000-0010-0000-0000-00001F000000}" uniqueName="31" name="CUSTOMER_NAME" queryTableFieldId="3" dataDxfId="14"/>
    <tableColumn id="32" xr3:uid="{00000000-0010-0000-0000-000020000000}" uniqueName="32" name="DOB" queryTableFieldId="4" dataDxfId="13"/>
    <tableColumn id="33" xr3:uid="{00000000-0010-0000-0000-000021000000}" uniqueName="33" name="INSURANCE_TYPE" queryTableFieldId="5" dataDxfId="12"/>
    <tableColumn id="34" xr3:uid="{00000000-0010-0000-0000-000022000000}" uniqueName="34" name="PREMIUM_AMOUNT" queryTableFieldId="6" dataDxfId="11"/>
    <tableColumn id="35" xr3:uid="{00000000-0010-0000-0000-000023000000}" uniqueName="35" name="LAST_PAYMENT_DATE" queryTableFieldId="7" dataDxfId="10"/>
    <tableColumn id="36" xr3:uid="{00000000-0010-0000-0000-000024000000}" uniqueName="36" name="CLAIM_NO" queryTableFieldId="8" dataDxfId="9"/>
    <tableColumn id="37" xr3:uid="{00000000-0010-0000-0000-000025000000}" uniqueName="37" name="CLAIM_DATE" queryTableFieldId="9" dataDxfId="8"/>
    <tableColumn id="38" xr3:uid="{00000000-0010-0000-0000-000026000000}" uniqueName="38" name="CLAIM_STATUS" queryTableFieldId="10" dataDxfId="7"/>
    <tableColumn id="39" xr3:uid="{00000000-0010-0000-0000-000027000000}" uniqueName="39" name="CLAIM_PAID_AMOUNT" queryTableFieldId="11" dataDxfId="6"/>
    <tableColumn id="40" xr3:uid="{00000000-0010-0000-0000-000028000000}" uniqueName="40" name="INSURANCE_COMPANY_NAME" queryTableFieldId="12" dataDxfId="5"/>
    <tableColumn id="41" xr3:uid="{00000000-0010-0000-0000-000029000000}" uniqueName="41" name="PolicyAge" queryTableFieldId="13" dataDxfId="4"/>
    <tableColumn id="2" xr3:uid="{9CA79D64-A86A-4F1D-85A5-D2C185A6BE8F}" uniqueName="2" name="Total_policy_amount" queryTableFieldId="15" dataDxfId="3">
      <calculatedColumnFormula>Insurance_Dataset__3[[#This Row],[PolicyAge]]*Insurance_Dataset__3[[#This Row],[PREMIUM_AMOUNT]]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1"/>
  <sheetViews>
    <sheetView tabSelected="1" topLeftCell="E1" workbookViewId="0">
      <selection activeCell="C104" sqref="C104"/>
    </sheetView>
  </sheetViews>
  <sheetFormatPr defaultRowHeight="14.5" x14ac:dyDescent="0.35"/>
  <cols>
    <col min="1" max="1" width="18.7265625" bestFit="1" customWidth="1"/>
    <col min="2" max="2" width="22.1796875" style="3" bestFit="1" customWidth="1"/>
    <col min="3" max="3" width="24.54296875" bestFit="1" customWidth="1"/>
    <col min="4" max="4" width="10.453125" bestFit="1" customWidth="1"/>
    <col min="5" max="5" width="19.1796875" bestFit="1" customWidth="1"/>
    <col min="6" max="6" width="22" bestFit="1" customWidth="1"/>
    <col min="7" max="7" width="23.1796875" bestFit="1" customWidth="1"/>
    <col min="8" max="8" width="12.81640625" bestFit="1" customWidth="1"/>
    <col min="9" max="9" width="14.54296875" bestFit="1" customWidth="1"/>
    <col min="10" max="10" width="16.81640625" bestFit="1" customWidth="1"/>
    <col min="11" max="11" width="24.1796875" bestFit="1" customWidth="1"/>
    <col min="12" max="12" width="31.26953125" bestFit="1" customWidth="1"/>
    <col min="13" max="13" width="12" bestFit="1" customWidth="1"/>
    <col min="14" max="14" width="19.54296875" customWidth="1"/>
    <col min="15" max="15" width="20.81640625" bestFit="1" customWidth="1"/>
    <col min="16" max="16" width="25.08984375" customWidth="1"/>
  </cols>
  <sheetData>
    <row r="1" spans="1:17" x14ac:dyDescent="0.35">
      <c r="A1" t="s">
        <v>0</v>
      </c>
      <c r="B1" s="3" t="s">
        <v>1</v>
      </c>
      <c r="C1" t="s">
        <v>2</v>
      </c>
      <c r="D1" t="s">
        <v>3</v>
      </c>
      <c r="E1" t="s">
        <v>4</v>
      </c>
      <c r="F1" t="s">
        <v>5</v>
      </c>
      <c r="G1" t="s">
        <v>6</v>
      </c>
      <c r="H1" t="s">
        <v>7</v>
      </c>
      <c r="I1" t="s">
        <v>8</v>
      </c>
      <c r="J1" t="s">
        <v>9</v>
      </c>
      <c r="K1" t="s">
        <v>10</v>
      </c>
      <c r="L1" t="s">
        <v>11</v>
      </c>
      <c r="M1" t="s">
        <v>325</v>
      </c>
      <c r="N1" t="s">
        <v>326</v>
      </c>
      <c r="P1" t="s">
        <v>327</v>
      </c>
      <c r="Q1">
        <f>SUBTOTAL(9,N:N)</f>
        <v>1525037.52</v>
      </c>
    </row>
    <row r="2" spans="1:17" hidden="1" x14ac:dyDescent="0.35">
      <c r="A2" t="s">
        <v>12</v>
      </c>
      <c r="B2" s="1">
        <v>42264</v>
      </c>
      <c r="C2" t="s">
        <v>13</v>
      </c>
      <c r="D2" s="1">
        <v>29204</v>
      </c>
      <c r="E2" t="s">
        <v>14</v>
      </c>
      <c r="F2">
        <v>82785.42</v>
      </c>
      <c r="G2" s="1">
        <v>44364</v>
      </c>
      <c r="H2" t="s">
        <v>15</v>
      </c>
      <c r="I2" s="1">
        <v>44417</v>
      </c>
      <c r="J2" t="s">
        <v>16</v>
      </c>
      <c r="K2">
        <v>40873.99</v>
      </c>
      <c r="L2" t="s">
        <v>17</v>
      </c>
      <c r="M2">
        <v>10</v>
      </c>
      <c r="N2" s="2">
        <f>Insurance_Dataset__3[[#This Row],[PolicyAge]]*Insurance_Dataset__3[[#This Row],[PREMIUM_AMOUNT]]</f>
        <v>827854.2</v>
      </c>
    </row>
    <row r="3" spans="1:17" hidden="1" x14ac:dyDescent="0.35">
      <c r="A3" t="s">
        <v>18</v>
      </c>
      <c r="B3" s="1">
        <v>38159</v>
      </c>
      <c r="C3" t="s">
        <v>19</v>
      </c>
      <c r="D3" s="1">
        <v>20783</v>
      </c>
      <c r="E3" t="s">
        <v>20</v>
      </c>
      <c r="F3">
        <v>82786.399999999994</v>
      </c>
      <c r="G3" s="1">
        <v>42394</v>
      </c>
      <c r="H3" t="s">
        <v>21</v>
      </c>
      <c r="I3" s="1">
        <v>45497</v>
      </c>
      <c r="J3" t="s">
        <v>16</v>
      </c>
      <c r="K3">
        <v>19355.080000000002</v>
      </c>
      <c r="L3" t="s">
        <v>17</v>
      </c>
      <c r="M3">
        <v>21</v>
      </c>
      <c r="N3" s="2">
        <f>Insurance_Dataset__3[[#This Row],[PolicyAge]]*Insurance_Dataset__3[[#This Row],[PREMIUM_AMOUNT]]</f>
        <v>1738514.4</v>
      </c>
    </row>
    <row r="4" spans="1:17" hidden="1" x14ac:dyDescent="0.35">
      <c r="A4" t="s">
        <v>22</v>
      </c>
      <c r="B4" s="1">
        <v>41106</v>
      </c>
      <c r="C4" t="s">
        <v>23</v>
      </c>
      <c r="D4" s="1">
        <v>33155</v>
      </c>
      <c r="E4" t="s">
        <v>24</v>
      </c>
      <c r="F4">
        <v>95037.15</v>
      </c>
      <c r="G4" s="1">
        <v>43300</v>
      </c>
      <c r="H4" t="s">
        <v>25</v>
      </c>
      <c r="I4" s="1">
        <v>41158</v>
      </c>
      <c r="J4" t="s">
        <v>16</v>
      </c>
      <c r="K4">
        <v>51609.61</v>
      </c>
      <c r="L4" t="s">
        <v>26</v>
      </c>
      <c r="M4">
        <v>13</v>
      </c>
      <c r="N4" s="2">
        <f>Insurance_Dataset__3[[#This Row],[PolicyAge]]*Insurance_Dataset__3[[#This Row],[PREMIUM_AMOUNT]]</f>
        <v>1235482.95</v>
      </c>
    </row>
    <row r="5" spans="1:17" hidden="1" x14ac:dyDescent="0.35">
      <c r="A5" t="s">
        <v>27</v>
      </c>
      <c r="B5" s="1">
        <v>38275</v>
      </c>
      <c r="C5" t="s">
        <v>28</v>
      </c>
      <c r="D5" s="1">
        <v>29872</v>
      </c>
      <c r="E5" t="s">
        <v>29</v>
      </c>
      <c r="F5">
        <v>26087.5</v>
      </c>
      <c r="G5" s="1">
        <v>39781</v>
      </c>
      <c r="H5" t="s">
        <v>30</v>
      </c>
      <c r="I5" s="1">
        <v>41190</v>
      </c>
      <c r="J5" t="s">
        <v>31</v>
      </c>
      <c r="K5">
        <v>0</v>
      </c>
      <c r="L5" t="s">
        <v>32</v>
      </c>
      <c r="M5">
        <v>21</v>
      </c>
      <c r="N5" s="2">
        <f>Insurance_Dataset__3[[#This Row],[PolicyAge]]*Insurance_Dataset__3[[#This Row],[PREMIUM_AMOUNT]]</f>
        <v>547837.5</v>
      </c>
    </row>
    <row r="6" spans="1:17" hidden="1" x14ac:dyDescent="0.35">
      <c r="A6" t="s">
        <v>33</v>
      </c>
      <c r="B6" s="1">
        <v>42908</v>
      </c>
      <c r="C6" t="s">
        <v>34</v>
      </c>
      <c r="D6" s="1">
        <v>27399</v>
      </c>
      <c r="E6" t="s">
        <v>29</v>
      </c>
      <c r="F6">
        <v>36317.49</v>
      </c>
      <c r="G6" s="1">
        <v>45268</v>
      </c>
      <c r="H6" t="s">
        <v>35</v>
      </c>
      <c r="I6" s="1">
        <v>45054</v>
      </c>
      <c r="J6" t="s">
        <v>31</v>
      </c>
      <c r="K6">
        <v>0</v>
      </c>
      <c r="L6" t="s">
        <v>17</v>
      </c>
      <c r="M6">
        <v>8</v>
      </c>
      <c r="N6" s="2">
        <f>Insurance_Dataset__3[[#This Row],[PolicyAge]]*Insurance_Dataset__3[[#This Row],[PREMIUM_AMOUNT]]</f>
        <v>290539.92</v>
      </c>
    </row>
    <row r="7" spans="1:17" x14ac:dyDescent="0.35">
      <c r="A7" t="s">
        <v>36</v>
      </c>
      <c r="B7" s="3">
        <v>44440</v>
      </c>
      <c r="C7" t="s">
        <v>37</v>
      </c>
      <c r="D7" s="1">
        <v>30358</v>
      </c>
      <c r="E7" t="s">
        <v>14</v>
      </c>
      <c r="F7">
        <v>23252.83</v>
      </c>
      <c r="G7" s="1">
        <v>45253</v>
      </c>
      <c r="H7" t="s">
        <v>38</v>
      </c>
      <c r="I7" s="1">
        <v>44506</v>
      </c>
      <c r="J7" t="s">
        <v>31</v>
      </c>
      <c r="K7">
        <v>0</v>
      </c>
      <c r="L7" t="s">
        <v>17</v>
      </c>
      <c r="M7">
        <v>4</v>
      </c>
      <c r="N7" s="2">
        <f>Insurance_Dataset__3[[#This Row],[PolicyAge]]*Insurance_Dataset__3[[#This Row],[PREMIUM_AMOUNT]]</f>
        <v>93011.32</v>
      </c>
      <c r="P7" t="s">
        <v>328</v>
      </c>
      <c r="Q7">
        <f>SUBTOTAL(103,A:A)-1</f>
        <v>8</v>
      </c>
    </row>
    <row r="8" spans="1:17" x14ac:dyDescent="0.35">
      <c r="A8" t="s">
        <v>39</v>
      </c>
      <c r="B8" s="3">
        <v>44403</v>
      </c>
      <c r="C8" t="s">
        <v>40</v>
      </c>
      <c r="D8" s="1">
        <v>19818</v>
      </c>
      <c r="E8" t="s">
        <v>14</v>
      </c>
      <c r="F8">
        <v>28557.9</v>
      </c>
      <c r="G8" s="1">
        <v>44584</v>
      </c>
      <c r="H8" t="s">
        <v>41</v>
      </c>
      <c r="I8" s="1">
        <v>44636</v>
      </c>
      <c r="J8" t="s">
        <v>31</v>
      </c>
      <c r="K8">
        <v>0</v>
      </c>
      <c r="L8" t="s">
        <v>32</v>
      </c>
      <c r="M8">
        <v>4</v>
      </c>
      <c r="N8" s="2">
        <f>Insurance_Dataset__3[[#This Row],[PolicyAge]]*Insurance_Dataset__3[[#This Row],[PREMIUM_AMOUNT]]</f>
        <v>114231.6</v>
      </c>
      <c r="P8" t="s">
        <v>329</v>
      </c>
      <c r="Q8">
        <f>SUBTOTAL(101,N:N)</f>
        <v>190629.69</v>
      </c>
    </row>
    <row r="9" spans="1:17" hidden="1" x14ac:dyDescent="0.35">
      <c r="A9" t="s">
        <v>42</v>
      </c>
      <c r="B9" s="1">
        <v>37131</v>
      </c>
      <c r="C9" t="s">
        <v>43</v>
      </c>
      <c r="D9" s="1">
        <v>30027</v>
      </c>
      <c r="E9" t="s">
        <v>24</v>
      </c>
      <c r="F9">
        <v>52060.35</v>
      </c>
      <c r="G9" s="1">
        <v>44827</v>
      </c>
      <c r="H9" t="s">
        <v>44</v>
      </c>
      <c r="I9" s="1">
        <v>37948</v>
      </c>
      <c r="J9" t="s">
        <v>16</v>
      </c>
      <c r="K9">
        <v>19428.96</v>
      </c>
      <c r="L9" t="s">
        <v>45</v>
      </c>
      <c r="M9">
        <v>24</v>
      </c>
      <c r="N9" s="2">
        <f>Insurance_Dataset__3[[#This Row],[PolicyAge]]*Insurance_Dataset__3[[#This Row],[PREMIUM_AMOUNT]]</f>
        <v>1249448.3999999999</v>
      </c>
    </row>
    <row r="10" spans="1:17" hidden="1" x14ac:dyDescent="0.35">
      <c r="A10" t="s">
        <v>46</v>
      </c>
      <c r="B10" s="1">
        <v>37688</v>
      </c>
      <c r="C10" t="s">
        <v>47</v>
      </c>
      <c r="D10" s="1">
        <v>28857</v>
      </c>
      <c r="E10" t="s">
        <v>20</v>
      </c>
      <c r="F10">
        <v>1851.92</v>
      </c>
      <c r="G10" s="1">
        <v>40602</v>
      </c>
      <c r="H10" t="s">
        <v>48</v>
      </c>
      <c r="I10" s="1">
        <v>39792</v>
      </c>
      <c r="J10" t="s">
        <v>49</v>
      </c>
      <c r="K10">
        <v>0</v>
      </c>
      <c r="L10" t="s">
        <v>32</v>
      </c>
      <c r="M10">
        <v>22</v>
      </c>
      <c r="N10" s="2">
        <f>Insurance_Dataset__3[[#This Row],[PolicyAge]]*Insurance_Dataset__3[[#This Row],[PREMIUM_AMOUNT]]</f>
        <v>40742.240000000005</v>
      </c>
    </row>
    <row r="11" spans="1:17" hidden="1" x14ac:dyDescent="0.35">
      <c r="A11" t="s">
        <v>50</v>
      </c>
      <c r="B11" s="1">
        <v>41767</v>
      </c>
      <c r="C11" t="s">
        <v>51</v>
      </c>
      <c r="D11" s="1">
        <v>20023</v>
      </c>
      <c r="E11" t="s">
        <v>14</v>
      </c>
      <c r="F11">
        <v>15760.03</v>
      </c>
      <c r="G11" s="1">
        <v>42984</v>
      </c>
      <c r="H11" t="s">
        <v>52</v>
      </c>
      <c r="I11" s="1">
        <v>44781</v>
      </c>
      <c r="J11" t="s">
        <v>31</v>
      </c>
      <c r="K11">
        <v>0</v>
      </c>
      <c r="L11" t="s">
        <v>17</v>
      </c>
      <c r="M11">
        <v>11</v>
      </c>
      <c r="N11" s="2">
        <f>Insurance_Dataset__3[[#This Row],[PolicyAge]]*Insurance_Dataset__3[[#This Row],[PREMIUM_AMOUNT]]</f>
        <v>173360.33000000002</v>
      </c>
    </row>
    <row r="12" spans="1:17" hidden="1" x14ac:dyDescent="0.35">
      <c r="A12" t="s">
        <v>53</v>
      </c>
      <c r="B12" s="1">
        <v>38038</v>
      </c>
      <c r="C12" t="s">
        <v>54</v>
      </c>
      <c r="D12" s="1">
        <v>31932</v>
      </c>
      <c r="E12" t="s">
        <v>14</v>
      </c>
      <c r="F12">
        <v>88191.47</v>
      </c>
      <c r="G12" s="1">
        <v>44067</v>
      </c>
      <c r="H12" t="s">
        <v>55</v>
      </c>
      <c r="I12" s="1">
        <v>44031</v>
      </c>
      <c r="J12" t="s">
        <v>31</v>
      </c>
      <c r="K12">
        <v>0</v>
      </c>
      <c r="L12" t="s">
        <v>45</v>
      </c>
      <c r="M12">
        <v>21</v>
      </c>
      <c r="N12" s="2">
        <f>Insurance_Dataset__3[[#This Row],[PolicyAge]]*Insurance_Dataset__3[[#This Row],[PREMIUM_AMOUNT]]</f>
        <v>1852020.87</v>
      </c>
    </row>
    <row r="13" spans="1:17" hidden="1" x14ac:dyDescent="0.35">
      <c r="A13" t="s">
        <v>56</v>
      </c>
      <c r="B13" s="1">
        <v>39875</v>
      </c>
      <c r="C13" t="s">
        <v>57</v>
      </c>
      <c r="D13" s="1">
        <v>31538</v>
      </c>
      <c r="E13" t="s">
        <v>14</v>
      </c>
      <c r="F13">
        <v>5650.03</v>
      </c>
      <c r="G13" s="1">
        <v>43216</v>
      </c>
      <c r="H13" t="s">
        <v>58</v>
      </c>
      <c r="I13" s="1">
        <v>40245</v>
      </c>
      <c r="J13" t="s">
        <v>31</v>
      </c>
      <c r="K13">
        <v>0</v>
      </c>
      <c r="L13" t="s">
        <v>17</v>
      </c>
      <c r="M13">
        <v>16</v>
      </c>
      <c r="N13" s="2">
        <f>Insurance_Dataset__3[[#This Row],[PolicyAge]]*Insurance_Dataset__3[[#This Row],[PREMIUM_AMOUNT]]</f>
        <v>90400.48</v>
      </c>
    </row>
    <row r="14" spans="1:17" hidden="1" x14ac:dyDescent="0.35">
      <c r="A14" t="s">
        <v>59</v>
      </c>
      <c r="B14" s="1">
        <v>36626</v>
      </c>
      <c r="C14" t="s">
        <v>60</v>
      </c>
      <c r="D14" s="1">
        <v>34979</v>
      </c>
      <c r="E14" t="s">
        <v>20</v>
      </c>
      <c r="F14">
        <v>40427.32</v>
      </c>
      <c r="G14" s="1">
        <v>41277</v>
      </c>
      <c r="H14" t="s">
        <v>61</v>
      </c>
      <c r="I14" s="1">
        <v>40857</v>
      </c>
      <c r="J14" t="s">
        <v>49</v>
      </c>
      <c r="K14">
        <v>0</v>
      </c>
      <c r="L14" t="s">
        <v>62</v>
      </c>
      <c r="M14">
        <v>25</v>
      </c>
      <c r="N14" s="2">
        <f>Insurance_Dataset__3[[#This Row],[PolicyAge]]*Insurance_Dataset__3[[#This Row],[PREMIUM_AMOUNT]]</f>
        <v>1010683</v>
      </c>
    </row>
    <row r="15" spans="1:17" hidden="1" x14ac:dyDescent="0.35">
      <c r="A15" t="s">
        <v>63</v>
      </c>
      <c r="B15" s="1">
        <v>42774</v>
      </c>
      <c r="C15" t="s">
        <v>64</v>
      </c>
      <c r="D15" s="1">
        <v>32537</v>
      </c>
      <c r="E15" t="s">
        <v>20</v>
      </c>
      <c r="F15">
        <v>26929.48</v>
      </c>
      <c r="G15" s="1">
        <v>44449</v>
      </c>
      <c r="H15" t="s">
        <v>65</v>
      </c>
      <c r="I15" s="1">
        <v>44070</v>
      </c>
      <c r="J15" t="s">
        <v>31</v>
      </c>
      <c r="K15">
        <v>0</v>
      </c>
      <c r="L15" t="s">
        <v>62</v>
      </c>
      <c r="M15">
        <v>8</v>
      </c>
      <c r="N15" s="2">
        <f>Insurance_Dataset__3[[#This Row],[PolicyAge]]*Insurance_Dataset__3[[#This Row],[PREMIUM_AMOUNT]]</f>
        <v>215435.84</v>
      </c>
    </row>
    <row r="16" spans="1:17" hidden="1" x14ac:dyDescent="0.35">
      <c r="A16" t="s">
        <v>66</v>
      </c>
      <c r="B16" s="1">
        <v>37721</v>
      </c>
      <c r="C16" t="s">
        <v>67</v>
      </c>
      <c r="D16" s="1">
        <v>21630</v>
      </c>
      <c r="E16" t="s">
        <v>68</v>
      </c>
      <c r="F16">
        <v>6101.81</v>
      </c>
      <c r="G16" s="1">
        <v>42902</v>
      </c>
      <c r="H16" t="s">
        <v>69</v>
      </c>
      <c r="I16" s="1">
        <v>38831</v>
      </c>
      <c r="J16" t="s">
        <v>16</v>
      </c>
      <c r="K16">
        <v>892.94</v>
      </c>
      <c r="L16" t="s">
        <v>17</v>
      </c>
      <c r="M16">
        <v>22</v>
      </c>
      <c r="N16" s="2">
        <f>Insurance_Dataset__3[[#This Row],[PolicyAge]]*Insurance_Dataset__3[[#This Row],[PREMIUM_AMOUNT]]</f>
        <v>134239.82</v>
      </c>
    </row>
    <row r="17" spans="1:14" hidden="1" x14ac:dyDescent="0.35">
      <c r="A17" t="s">
        <v>70</v>
      </c>
      <c r="B17" s="1">
        <v>39175</v>
      </c>
      <c r="C17" t="s">
        <v>71</v>
      </c>
      <c r="D17" s="1">
        <v>19870</v>
      </c>
      <c r="E17" t="s">
        <v>68</v>
      </c>
      <c r="F17">
        <v>88691.07</v>
      </c>
      <c r="G17" s="1">
        <v>44241</v>
      </c>
      <c r="H17" t="s">
        <v>72</v>
      </c>
      <c r="I17" s="1">
        <v>41412</v>
      </c>
      <c r="J17" t="s">
        <v>49</v>
      </c>
      <c r="K17">
        <v>0</v>
      </c>
      <c r="L17" t="s">
        <v>45</v>
      </c>
      <c r="M17">
        <v>18</v>
      </c>
      <c r="N17" s="2">
        <f>Insurance_Dataset__3[[#This Row],[PolicyAge]]*Insurance_Dataset__3[[#This Row],[PREMIUM_AMOUNT]]</f>
        <v>1596439.2600000002</v>
      </c>
    </row>
    <row r="18" spans="1:14" hidden="1" x14ac:dyDescent="0.35">
      <c r="A18" t="s">
        <v>73</v>
      </c>
      <c r="B18" s="1">
        <v>42041</v>
      </c>
      <c r="C18" t="s">
        <v>74</v>
      </c>
      <c r="D18" s="1">
        <v>35178</v>
      </c>
      <c r="E18" t="s">
        <v>29</v>
      </c>
      <c r="F18">
        <v>85411.67</v>
      </c>
      <c r="G18" s="1">
        <v>42104</v>
      </c>
      <c r="H18" t="s">
        <v>75</v>
      </c>
      <c r="I18" s="1">
        <v>44295</v>
      </c>
      <c r="J18" t="s">
        <v>16</v>
      </c>
      <c r="K18">
        <v>4399.01</v>
      </c>
      <c r="L18" t="s">
        <v>45</v>
      </c>
      <c r="M18">
        <v>10</v>
      </c>
      <c r="N18" s="2">
        <f>Insurance_Dataset__3[[#This Row],[PolicyAge]]*Insurance_Dataset__3[[#This Row],[PREMIUM_AMOUNT]]</f>
        <v>854116.7</v>
      </c>
    </row>
    <row r="19" spans="1:14" hidden="1" x14ac:dyDescent="0.35">
      <c r="A19" t="s">
        <v>76</v>
      </c>
      <c r="B19" s="1">
        <v>42698</v>
      </c>
      <c r="C19" t="s">
        <v>77</v>
      </c>
      <c r="D19" s="1">
        <v>35483</v>
      </c>
      <c r="E19" t="s">
        <v>14</v>
      </c>
      <c r="F19">
        <v>16733.669999999998</v>
      </c>
      <c r="G19" s="1">
        <v>44313</v>
      </c>
      <c r="H19" t="s">
        <v>78</v>
      </c>
      <c r="I19" s="1">
        <v>42772</v>
      </c>
      <c r="J19" t="s">
        <v>49</v>
      </c>
      <c r="K19">
        <v>0</v>
      </c>
      <c r="L19" t="s">
        <v>62</v>
      </c>
      <c r="M19">
        <v>9</v>
      </c>
      <c r="N19" s="2">
        <f>Insurance_Dataset__3[[#This Row],[PolicyAge]]*Insurance_Dataset__3[[#This Row],[PREMIUM_AMOUNT]]</f>
        <v>150603.02999999997</v>
      </c>
    </row>
    <row r="20" spans="1:14" hidden="1" x14ac:dyDescent="0.35">
      <c r="A20" t="s">
        <v>79</v>
      </c>
      <c r="B20" s="1">
        <v>44026</v>
      </c>
      <c r="C20" t="s">
        <v>80</v>
      </c>
      <c r="D20" s="1">
        <v>19480</v>
      </c>
      <c r="E20" t="s">
        <v>29</v>
      </c>
      <c r="F20">
        <v>54567.95</v>
      </c>
      <c r="G20" s="1">
        <v>45477</v>
      </c>
      <c r="H20" t="s">
        <v>81</v>
      </c>
      <c r="I20" s="1">
        <v>45506</v>
      </c>
      <c r="J20" t="s">
        <v>16</v>
      </c>
      <c r="K20">
        <v>35451.06</v>
      </c>
      <c r="L20" t="s">
        <v>45</v>
      </c>
      <c r="M20">
        <v>5</v>
      </c>
      <c r="N20" s="2">
        <f>Insurance_Dataset__3[[#This Row],[PolicyAge]]*Insurance_Dataset__3[[#This Row],[PREMIUM_AMOUNT]]</f>
        <v>272839.75</v>
      </c>
    </row>
    <row r="21" spans="1:14" hidden="1" x14ac:dyDescent="0.35">
      <c r="A21" t="s">
        <v>82</v>
      </c>
      <c r="B21" s="1">
        <v>39854</v>
      </c>
      <c r="C21" t="s">
        <v>83</v>
      </c>
      <c r="D21" s="1">
        <v>20267</v>
      </c>
      <c r="E21" t="s">
        <v>29</v>
      </c>
      <c r="F21">
        <v>37206.93</v>
      </c>
      <c r="G21" s="1">
        <v>41780</v>
      </c>
      <c r="H21" t="s">
        <v>84</v>
      </c>
      <c r="I21" s="1">
        <v>40566</v>
      </c>
      <c r="J21" t="s">
        <v>16</v>
      </c>
      <c r="K21">
        <v>15348.56</v>
      </c>
      <c r="L21" t="s">
        <v>26</v>
      </c>
      <c r="M21">
        <v>16</v>
      </c>
      <c r="N21" s="2">
        <f>Insurance_Dataset__3[[#This Row],[PolicyAge]]*Insurance_Dataset__3[[#This Row],[PREMIUM_AMOUNT]]</f>
        <v>595310.88</v>
      </c>
    </row>
    <row r="22" spans="1:14" hidden="1" x14ac:dyDescent="0.35">
      <c r="A22" t="s">
        <v>85</v>
      </c>
      <c r="B22" s="1">
        <v>38308</v>
      </c>
      <c r="C22" t="s">
        <v>86</v>
      </c>
      <c r="D22" s="1">
        <v>30387</v>
      </c>
      <c r="E22" t="s">
        <v>20</v>
      </c>
      <c r="F22">
        <v>98156.5</v>
      </c>
      <c r="G22" s="1">
        <v>40768</v>
      </c>
      <c r="H22" t="s">
        <v>87</v>
      </c>
      <c r="I22" s="1">
        <v>38474</v>
      </c>
      <c r="J22" t="s">
        <v>16</v>
      </c>
      <c r="K22">
        <v>70263.75</v>
      </c>
      <c r="L22" t="s">
        <v>26</v>
      </c>
      <c r="M22">
        <v>21</v>
      </c>
      <c r="N22" s="2">
        <f>Insurance_Dataset__3[[#This Row],[PolicyAge]]*Insurance_Dataset__3[[#This Row],[PREMIUM_AMOUNT]]</f>
        <v>2061286.5</v>
      </c>
    </row>
    <row r="23" spans="1:14" hidden="1" x14ac:dyDescent="0.35">
      <c r="A23" t="s">
        <v>88</v>
      </c>
      <c r="B23" s="1">
        <v>37875</v>
      </c>
      <c r="C23" t="s">
        <v>89</v>
      </c>
      <c r="D23" s="1">
        <v>20564</v>
      </c>
      <c r="E23" t="s">
        <v>20</v>
      </c>
      <c r="F23">
        <v>88805.01</v>
      </c>
      <c r="G23" s="1">
        <v>40100</v>
      </c>
      <c r="H23" t="s">
        <v>90</v>
      </c>
      <c r="I23" s="1">
        <v>40795</v>
      </c>
      <c r="J23" t="s">
        <v>31</v>
      </c>
      <c r="K23">
        <v>0</v>
      </c>
      <c r="L23" t="s">
        <v>32</v>
      </c>
      <c r="M23">
        <v>22</v>
      </c>
      <c r="N23" s="2">
        <f>Insurance_Dataset__3[[#This Row],[PolicyAge]]*Insurance_Dataset__3[[#This Row],[PREMIUM_AMOUNT]]</f>
        <v>1953710.22</v>
      </c>
    </row>
    <row r="24" spans="1:14" hidden="1" x14ac:dyDescent="0.35">
      <c r="A24" t="s">
        <v>91</v>
      </c>
      <c r="B24" s="1">
        <v>40518</v>
      </c>
      <c r="C24" t="s">
        <v>92</v>
      </c>
      <c r="D24" s="1">
        <v>18502</v>
      </c>
      <c r="E24" t="s">
        <v>68</v>
      </c>
      <c r="F24">
        <v>5148.5200000000004</v>
      </c>
      <c r="G24" s="1">
        <v>40681</v>
      </c>
      <c r="H24" t="s">
        <v>93</v>
      </c>
      <c r="I24" s="1">
        <v>41296</v>
      </c>
      <c r="J24" t="s">
        <v>49</v>
      </c>
      <c r="K24">
        <v>0</v>
      </c>
      <c r="L24" t="s">
        <v>32</v>
      </c>
      <c r="M24">
        <v>15</v>
      </c>
      <c r="N24" s="2">
        <f>Insurance_Dataset__3[[#This Row],[PolicyAge]]*Insurance_Dataset__3[[#This Row],[PREMIUM_AMOUNT]]</f>
        <v>77227.8</v>
      </c>
    </row>
    <row r="25" spans="1:14" hidden="1" x14ac:dyDescent="0.35">
      <c r="A25" t="s">
        <v>94</v>
      </c>
      <c r="B25" s="1">
        <v>39927</v>
      </c>
      <c r="C25" t="s">
        <v>95</v>
      </c>
      <c r="D25" s="1">
        <v>27226</v>
      </c>
      <c r="E25" t="s">
        <v>29</v>
      </c>
      <c r="F25">
        <v>79426.78</v>
      </c>
      <c r="G25" s="1">
        <v>42003</v>
      </c>
      <c r="H25" t="s">
        <v>96</v>
      </c>
      <c r="I25" s="1">
        <v>41527</v>
      </c>
      <c r="J25" t="s">
        <v>16</v>
      </c>
      <c r="K25">
        <v>75568.649999999994</v>
      </c>
      <c r="L25" t="s">
        <v>62</v>
      </c>
      <c r="M25">
        <v>16</v>
      </c>
      <c r="N25" s="2">
        <f>Insurance_Dataset__3[[#This Row],[PolicyAge]]*Insurance_Dataset__3[[#This Row],[PREMIUM_AMOUNT]]</f>
        <v>1270828.48</v>
      </c>
    </row>
    <row r="26" spans="1:14" hidden="1" x14ac:dyDescent="0.35">
      <c r="A26" t="s">
        <v>97</v>
      </c>
      <c r="B26" s="1">
        <v>40529</v>
      </c>
      <c r="C26" t="s">
        <v>98</v>
      </c>
      <c r="D26" s="1">
        <v>19709</v>
      </c>
      <c r="E26" t="s">
        <v>20</v>
      </c>
      <c r="F26">
        <v>63920.04</v>
      </c>
      <c r="G26" s="1">
        <v>45441</v>
      </c>
      <c r="H26" t="s">
        <v>99</v>
      </c>
      <c r="I26" s="1">
        <v>44957</v>
      </c>
      <c r="J26" t="s">
        <v>16</v>
      </c>
      <c r="K26">
        <v>18426.73</v>
      </c>
      <c r="L26" t="s">
        <v>26</v>
      </c>
      <c r="M26">
        <v>15</v>
      </c>
      <c r="N26" s="2">
        <f>Insurance_Dataset__3[[#This Row],[PolicyAge]]*Insurance_Dataset__3[[#This Row],[PREMIUM_AMOUNT]]</f>
        <v>958800.6</v>
      </c>
    </row>
    <row r="27" spans="1:14" hidden="1" x14ac:dyDescent="0.35">
      <c r="A27" t="s">
        <v>100</v>
      </c>
      <c r="B27" s="1">
        <v>39068</v>
      </c>
      <c r="C27" t="s">
        <v>101</v>
      </c>
      <c r="D27" s="1">
        <v>24309</v>
      </c>
      <c r="E27" t="s">
        <v>29</v>
      </c>
      <c r="F27">
        <v>79492.13</v>
      </c>
      <c r="G27" s="1">
        <v>42848</v>
      </c>
      <c r="H27" t="s">
        <v>102</v>
      </c>
      <c r="I27" s="1">
        <v>44089</v>
      </c>
      <c r="J27" t="s">
        <v>49</v>
      </c>
      <c r="K27">
        <v>0</v>
      </c>
      <c r="L27" t="s">
        <v>26</v>
      </c>
      <c r="M27">
        <v>19</v>
      </c>
      <c r="N27" s="2">
        <f>Insurance_Dataset__3[[#This Row],[PolicyAge]]*Insurance_Dataset__3[[#This Row],[PREMIUM_AMOUNT]]</f>
        <v>1510350.4700000002</v>
      </c>
    </row>
    <row r="28" spans="1:14" hidden="1" x14ac:dyDescent="0.35">
      <c r="A28" t="s">
        <v>103</v>
      </c>
      <c r="B28" s="1">
        <v>44011</v>
      </c>
      <c r="C28" t="s">
        <v>104</v>
      </c>
      <c r="D28" s="1">
        <v>29267</v>
      </c>
      <c r="E28" t="s">
        <v>29</v>
      </c>
      <c r="F28">
        <v>68338.2</v>
      </c>
      <c r="G28" s="1">
        <v>44761</v>
      </c>
      <c r="H28" t="s">
        <v>105</v>
      </c>
      <c r="I28" s="1">
        <v>45579</v>
      </c>
      <c r="J28" t="s">
        <v>16</v>
      </c>
      <c r="K28">
        <v>33554.49</v>
      </c>
      <c r="L28" t="s">
        <v>32</v>
      </c>
      <c r="M28">
        <v>5</v>
      </c>
      <c r="N28" s="2">
        <f>Insurance_Dataset__3[[#This Row],[PolicyAge]]*Insurance_Dataset__3[[#This Row],[PREMIUM_AMOUNT]]</f>
        <v>341691</v>
      </c>
    </row>
    <row r="29" spans="1:14" hidden="1" x14ac:dyDescent="0.35">
      <c r="A29" t="s">
        <v>106</v>
      </c>
      <c r="B29" s="1">
        <v>37657</v>
      </c>
      <c r="C29" t="s">
        <v>107</v>
      </c>
      <c r="D29" s="1">
        <v>38080</v>
      </c>
      <c r="E29" t="s">
        <v>24</v>
      </c>
      <c r="F29">
        <v>86605.02</v>
      </c>
      <c r="G29" s="1">
        <v>44499</v>
      </c>
      <c r="H29" t="s">
        <v>108</v>
      </c>
      <c r="I29" s="1">
        <v>42361</v>
      </c>
      <c r="J29" t="s">
        <v>31</v>
      </c>
      <c r="K29">
        <v>0</v>
      </c>
      <c r="L29" t="s">
        <v>62</v>
      </c>
      <c r="M29">
        <v>22</v>
      </c>
      <c r="N29" s="2">
        <f>Insurance_Dataset__3[[#This Row],[PolicyAge]]*Insurance_Dataset__3[[#This Row],[PREMIUM_AMOUNT]]</f>
        <v>1905310.4400000002</v>
      </c>
    </row>
    <row r="30" spans="1:14" hidden="1" x14ac:dyDescent="0.35">
      <c r="A30" t="s">
        <v>109</v>
      </c>
      <c r="B30" s="1">
        <v>42788</v>
      </c>
      <c r="C30" t="s">
        <v>110</v>
      </c>
      <c r="D30" s="1">
        <v>38263</v>
      </c>
      <c r="E30" t="s">
        <v>24</v>
      </c>
      <c r="F30">
        <v>63024.58</v>
      </c>
      <c r="G30" s="1">
        <v>44946</v>
      </c>
      <c r="H30" t="s">
        <v>111</v>
      </c>
      <c r="I30" s="1">
        <v>43192</v>
      </c>
      <c r="J30" t="s">
        <v>16</v>
      </c>
      <c r="K30">
        <v>41424.53</v>
      </c>
      <c r="L30" t="s">
        <v>26</v>
      </c>
      <c r="M30">
        <v>8</v>
      </c>
      <c r="N30" s="2">
        <f>Insurance_Dataset__3[[#This Row],[PolicyAge]]*Insurance_Dataset__3[[#This Row],[PREMIUM_AMOUNT]]</f>
        <v>504196.64</v>
      </c>
    </row>
    <row r="31" spans="1:14" hidden="1" x14ac:dyDescent="0.35">
      <c r="A31" t="s">
        <v>112</v>
      </c>
      <c r="B31" s="1">
        <v>44819</v>
      </c>
      <c r="C31" t="s">
        <v>113</v>
      </c>
      <c r="D31" s="1">
        <v>37580</v>
      </c>
      <c r="E31" t="s">
        <v>24</v>
      </c>
      <c r="F31">
        <v>1853.98</v>
      </c>
      <c r="G31" s="1">
        <v>45159</v>
      </c>
      <c r="H31" t="s">
        <v>114</v>
      </c>
      <c r="I31" s="1">
        <v>44928</v>
      </c>
      <c r="J31" t="s">
        <v>16</v>
      </c>
      <c r="K31">
        <v>1678.33</v>
      </c>
      <c r="L31" t="s">
        <v>62</v>
      </c>
      <c r="M31">
        <v>3</v>
      </c>
      <c r="N31" s="2">
        <f>Insurance_Dataset__3[[#This Row],[PolicyAge]]*Insurance_Dataset__3[[#This Row],[PREMIUM_AMOUNT]]</f>
        <v>5561.9400000000005</v>
      </c>
    </row>
    <row r="32" spans="1:14" hidden="1" x14ac:dyDescent="0.35">
      <c r="A32" t="s">
        <v>115</v>
      </c>
      <c r="B32" s="1">
        <v>41018</v>
      </c>
      <c r="C32" t="s">
        <v>116</v>
      </c>
      <c r="D32" s="1">
        <v>24014</v>
      </c>
      <c r="E32" t="s">
        <v>20</v>
      </c>
      <c r="F32">
        <v>47211.96</v>
      </c>
      <c r="G32" s="1">
        <v>44348</v>
      </c>
      <c r="H32" t="s">
        <v>117</v>
      </c>
      <c r="I32" s="1">
        <v>43065</v>
      </c>
      <c r="J32" t="s">
        <v>49</v>
      </c>
      <c r="K32">
        <v>0</v>
      </c>
      <c r="L32" t="s">
        <v>17</v>
      </c>
      <c r="M32">
        <v>13</v>
      </c>
      <c r="N32" s="2">
        <f>Insurance_Dataset__3[[#This Row],[PolicyAge]]*Insurance_Dataset__3[[#This Row],[PREMIUM_AMOUNT]]</f>
        <v>613755.48</v>
      </c>
    </row>
    <row r="33" spans="1:17" x14ac:dyDescent="0.35">
      <c r="A33" t="s">
        <v>118</v>
      </c>
      <c r="B33" s="3">
        <v>44031</v>
      </c>
      <c r="C33" t="s">
        <v>119</v>
      </c>
      <c r="D33" s="1">
        <v>25876</v>
      </c>
      <c r="E33" t="s">
        <v>24</v>
      </c>
      <c r="F33">
        <v>73009.03</v>
      </c>
      <c r="G33" s="1">
        <v>45212</v>
      </c>
      <c r="H33" t="s">
        <v>120</v>
      </c>
      <c r="I33" s="1">
        <v>45109</v>
      </c>
      <c r="J33" t="s">
        <v>31</v>
      </c>
      <c r="K33">
        <v>0</v>
      </c>
      <c r="L33" t="s">
        <v>32</v>
      </c>
      <c r="M33">
        <v>5</v>
      </c>
      <c r="N33" s="2">
        <f>Insurance_Dataset__3[[#This Row],[PolicyAge]]*Insurance_Dataset__3[[#This Row],[PREMIUM_AMOUNT]]</f>
        <v>365045.15</v>
      </c>
      <c r="P33" t="s">
        <v>330</v>
      </c>
      <c r="Q33">
        <f>SUBTOTAL(9,K:K)</f>
        <v>37841.199999999997</v>
      </c>
    </row>
    <row r="34" spans="1:17" hidden="1" x14ac:dyDescent="0.35">
      <c r="A34" t="s">
        <v>121</v>
      </c>
      <c r="B34" s="1">
        <v>37407</v>
      </c>
      <c r="C34" t="s">
        <v>122</v>
      </c>
      <c r="D34" s="1">
        <v>19809</v>
      </c>
      <c r="E34" t="s">
        <v>20</v>
      </c>
      <c r="F34">
        <v>96482.38</v>
      </c>
      <c r="G34" s="1">
        <v>43651</v>
      </c>
      <c r="H34" t="s">
        <v>123</v>
      </c>
      <c r="I34" s="1">
        <v>39616</v>
      </c>
      <c r="J34" t="s">
        <v>31</v>
      </c>
      <c r="K34">
        <v>0</v>
      </c>
      <c r="L34" t="s">
        <v>17</v>
      </c>
      <c r="M34">
        <v>23</v>
      </c>
      <c r="N34" s="2">
        <f>Insurance_Dataset__3[[#This Row],[PolicyAge]]*Insurance_Dataset__3[[#This Row],[PREMIUM_AMOUNT]]</f>
        <v>2219094.7400000002</v>
      </c>
    </row>
    <row r="35" spans="1:17" hidden="1" x14ac:dyDescent="0.35">
      <c r="A35" t="s">
        <v>124</v>
      </c>
      <c r="B35" s="1">
        <v>44729</v>
      </c>
      <c r="C35" t="s">
        <v>125</v>
      </c>
      <c r="D35" s="1">
        <v>30612</v>
      </c>
      <c r="E35" t="s">
        <v>29</v>
      </c>
      <c r="F35">
        <v>74554.83</v>
      </c>
      <c r="G35" s="1">
        <v>44818</v>
      </c>
      <c r="H35" t="s">
        <v>126</v>
      </c>
      <c r="I35" s="1">
        <v>44817</v>
      </c>
      <c r="J35" t="s">
        <v>31</v>
      </c>
      <c r="K35">
        <v>0</v>
      </c>
      <c r="L35" t="s">
        <v>17</v>
      </c>
      <c r="M35">
        <v>3</v>
      </c>
      <c r="N35" s="2">
        <f>Insurance_Dataset__3[[#This Row],[PolicyAge]]*Insurance_Dataset__3[[#This Row],[PREMIUM_AMOUNT]]</f>
        <v>223664.49</v>
      </c>
    </row>
    <row r="36" spans="1:17" hidden="1" x14ac:dyDescent="0.35">
      <c r="A36" t="s">
        <v>127</v>
      </c>
      <c r="B36" s="1">
        <v>38323</v>
      </c>
      <c r="C36" t="s">
        <v>128</v>
      </c>
      <c r="D36" s="1">
        <v>30309</v>
      </c>
      <c r="E36" t="s">
        <v>29</v>
      </c>
      <c r="F36">
        <v>75637.84</v>
      </c>
      <c r="G36" s="1">
        <v>42501</v>
      </c>
      <c r="H36" t="s">
        <v>129</v>
      </c>
      <c r="I36" s="1">
        <v>45262</v>
      </c>
      <c r="J36" t="s">
        <v>16</v>
      </c>
      <c r="K36">
        <v>12069.74</v>
      </c>
      <c r="L36" t="s">
        <v>62</v>
      </c>
      <c r="M36">
        <v>21</v>
      </c>
      <c r="N36" s="2">
        <f>Insurance_Dataset__3[[#This Row],[PolicyAge]]*Insurance_Dataset__3[[#This Row],[PREMIUM_AMOUNT]]</f>
        <v>1588394.64</v>
      </c>
    </row>
    <row r="37" spans="1:17" hidden="1" x14ac:dyDescent="0.35">
      <c r="A37" t="s">
        <v>130</v>
      </c>
      <c r="B37" s="1">
        <v>42113</v>
      </c>
      <c r="C37" t="s">
        <v>131</v>
      </c>
      <c r="D37" s="1">
        <v>22135</v>
      </c>
      <c r="E37" t="s">
        <v>20</v>
      </c>
      <c r="F37">
        <v>64799.89</v>
      </c>
      <c r="G37" s="1">
        <v>44394</v>
      </c>
      <c r="H37" t="s">
        <v>132</v>
      </c>
      <c r="I37" s="1">
        <v>45273</v>
      </c>
      <c r="J37" t="s">
        <v>16</v>
      </c>
      <c r="K37">
        <v>3142.88</v>
      </c>
      <c r="L37" t="s">
        <v>45</v>
      </c>
      <c r="M37">
        <v>10</v>
      </c>
      <c r="N37" s="2">
        <f>Insurance_Dataset__3[[#This Row],[PolicyAge]]*Insurance_Dataset__3[[#This Row],[PREMIUM_AMOUNT]]</f>
        <v>647998.9</v>
      </c>
    </row>
    <row r="38" spans="1:17" hidden="1" x14ac:dyDescent="0.35">
      <c r="A38" t="s">
        <v>133</v>
      </c>
      <c r="B38" s="1">
        <v>41470</v>
      </c>
      <c r="C38" t="s">
        <v>134</v>
      </c>
      <c r="D38" s="1">
        <v>30283</v>
      </c>
      <c r="E38" t="s">
        <v>24</v>
      </c>
      <c r="F38">
        <v>14301.55</v>
      </c>
      <c r="G38" s="1">
        <v>41672</v>
      </c>
      <c r="H38" t="s">
        <v>135</v>
      </c>
      <c r="I38" s="1">
        <v>45035</v>
      </c>
      <c r="J38" t="s">
        <v>16</v>
      </c>
      <c r="K38">
        <v>7165.24</v>
      </c>
      <c r="L38" t="s">
        <v>62</v>
      </c>
      <c r="M38">
        <v>12</v>
      </c>
      <c r="N38" s="2">
        <f>Insurance_Dataset__3[[#This Row],[PolicyAge]]*Insurance_Dataset__3[[#This Row],[PREMIUM_AMOUNT]]</f>
        <v>171618.59999999998</v>
      </c>
    </row>
    <row r="39" spans="1:17" hidden="1" x14ac:dyDescent="0.35">
      <c r="A39" t="s">
        <v>136</v>
      </c>
      <c r="B39" s="1">
        <v>41191</v>
      </c>
      <c r="C39" t="s">
        <v>137</v>
      </c>
      <c r="D39" s="1">
        <v>38925</v>
      </c>
      <c r="E39" t="s">
        <v>20</v>
      </c>
      <c r="F39">
        <v>73228.91</v>
      </c>
      <c r="G39" s="1">
        <v>43698</v>
      </c>
      <c r="H39" t="s">
        <v>138</v>
      </c>
      <c r="I39" s="1">
        <v>44470</v>
      </c>
      <c r="J39" t="s">
        <v>49</v>
      </c>
      <c r="K39">
        <v>0</v>
      </c>
      <c r="L39" t="s">
        <v>32</v>
      </c>
      <c r="M39">
        <v>13</v>
      </c>
      <c r="N39" s="2">
        <f>Insurance_Dataset__3[[#This Row],[PolicyAge]]*Insurance_Dataset__3[[#This Row],[PREMIUM_AMOUNT]]</f>
        <v>951975.83000000007</v>
      </c>
    </row>
    <row r="40" spans="1:17" hidden="1" x14ac:dyDescent="0.35">
      <c r="A40" t="s">
        <v>139</v>
      </c>
      <c r="B40" s="1">
        <v>37689</v>
      </c>
      <c r="C40" t="s">
        <v>140</v>
      </c>
      <c r="D40" s="1">
        <v>35921</v>
      </c>
      <c r="E40" t="s">
        <v>20</v>
      </c>
      <c r="F40">
        <v>9229.3799999999992</v>
      </c>
      <c r="G40" s="1">
        <v>39418</v>
      </c>
      <c r="H40" t="s">
        <v>141</v>
      </c>
      <c r="I40" s="1">
        <v>38491</v>
      </c>
      <c r="J40" t="s">
        <v>49</v>
      </c>
      <c r="K40">
        <v>0</v>
      </c>
      <c r="L40" t="s">
        <v>32</v>
      </c>
      <c r="M40">
        <v>22</v>
      </c>
      <c r="N40" s="2">
        <f>Insurance_Dataset__3[[#This Row],[PolicyAge]]*Insurance_Dataset__3[[#This Row],[PREMIUM_AMOUNT]]</f>
        <v>203046.36</v>
      </c>
    </row>
    <row r="41" spans="1:17" hidden="1" x14ac:dyDescent="0.35">
      <c r="A41" t="s">
        <v>142</v>
      </c>
      <c r="B41" s="1">
        <v>42882</v>
      </c>
      <c r="C41" t="s">
        <v>143</v>
      </c>
      <c r="D41" s="1">
        <v>23169</v>
      </c>
      <c r="E41" t="s">
        <v>29</v>
      </c>
      <c r="F41">
        <v>14350.69</v>
      </c>
      <c r="G41" s="1">
        <v>43915</v>
      </c>
      <c r="H41" t="s">
        <v>144</v>
      </c>
      <c r="I41" s="1">
        <v>45399</v>
      </c>
      <c r="J41" t="s">
        <v>31</v>
      </c>
      <c r="K41">
        <v>0</v>
      </c>
      <c r="L41" t="s">
        <v>45</v>
      </c>
      <c r="M41">
        <v>8</v>
      </c>
      <c r="N41" s="2">
        <f>Insurance_Dataset__3[[#This Row],[PolicyAge]]*Insurance_Dataset__3[[#This Row],[PREMIUM_AMOUNT]]</f>
        <v>114805.52</v>
      </c>
    </row>
    <row r="42" spans="1:17" hidden="1" x14ac:dyDescent="0.35">
      <c r="A42" t="s">
        <v>145</v>
      </c>
      <c r="B42" s="1">
        <v>42068</v>
      </c>
      <c r="C42" t="s">
        <v>146</v>
      </c>
      <c r="D42" s="1">
        <v>30190</v>
      </c>
      <c r="E42" t="s">
        <v>14</v>
      </c>
      <c r="F42">
        <v>1693.46</v>
      </c>
      <c r="G42" s="1">
        <v>45444</v>
      </c>
      <c r="H42" t="s">
        <v>147</v>
      </c>
      <c r="I42" s="1">
        <v>43702</v>
      </c>
      <c r="J42" t="s">
        <v>49</v>
      </c>
      <c r="K42">
        <v>0</v>
      </c>
      <c r="L42" t="s">
        <v>32</v>
      </c>
      <c r="M42">
        <v>10</v>
      </c>
      <c r="N42" s="2">
        <f>Insurance_Dataset__3[[#This Row],[PolicyAge]]*Insurance_Dataset__3[[#This Row],[PREMIUM_AMOUNT]]</f>
        <v>16934.599999999999</v>
      </c>
    </row>
    <row r="43" spans="1:17" hidden="1" x14ac:dyDescent="0.35">
      <c r="A43" t="s">
        <v>148</v>
      </c>
      <c r="B43" s="1">
        <v>43243</v>
      </c>
      <c r="C43" t="s">
        <v>149</v>
      </c>
      <c r="D43" s="1">
        <v>35687</v>
      </c>
      <c r="E43" t="s">
        <v>14</v>
      </c>
      <c r="F43">
        <v>77919.89</v>
      </c>
      <c r="G43" s="1">
        <v>43645</v>
      </c>
      <c r="H43" t="s">
        <v>150</v>
      </c>
      <c r="I43" s="1">
        <v>45462</v>
      </c>
      <c r="J43" t="s">
        <v>49</v>
      </c>
      <c r="K43">
        <v>0</v>
      </c>
      <c r="L43" t="s">
        <v>62</v>
      </c>
      <c r="M43">
        <v>7</v>
      </c>
      <c r="N43" s="2">
        <f>Insurance_Dataset__3[[#This Row],[PolicyAge]]*Insurance_Dataset__3[[#This Row],[PREMIUM_AMOUNT]]</f>
        <v>545439.23</v>
      </c>
    </row>
    <row r="44" spans="1:17" hidden="1" x14ac:dyDescent="0.35">
      <c r="A44" t="s">
        <v>151</v>
      </c>
      <c r="B44" s="1">
        <v>40864</v>
      </c>
      <c r="C44" t="s">
        <v>152</v>
      </c>
      <c r="D44" s="1">
        <v>38591</v>
      </c>
      <c r="E44" t="s">
        <v>29</v>
      </c>
      <c r="F44">
        <v>16407.150000000001</v>
      </c>
      <c r="G44" s="1">
        <v>44350</v>
      </c>
      <c r="H44" t="s">
        <v>153</v>
      </c>
      <c r="I44" s="1">
        <v>41131</v>
      </c>
      <c r="J44" t="s">
        <v>16</v>
      </c>
      <c r="K44">
        <v>15134.91</v>
      </c>
      <c r="L44" t="s">
        <v>32</v>
      </c>
      <c r="M44">
        <v>14</v>
      </c>
      <c r="N44" s="2">
        <f>Insurance_Dataset__3[[#This Row],[PolicyAge]]*Insurance_Dataset__3[[#This Row],[PREMIUM_AMOUNT]]</f>
        <v>229700.10000000003</v>
      </c>
    </row>
    <row r="45" spans="1:17" x14ac:dyDescent="0.35">
      <c r="A45" t="s">
        <v>154</v>
      </c>
      <c r="B45" s="3">
        <v>44167</v>
      </c>
      <c r="C45" t="s">
        <v>155</v>
      </c>
      <c r="D45" s="1">
        <v>35634</v>
      </c>
      <c r="E45" t="s">
        <v>24</v>
      </c>
      <c r="F45">
        <v>57386.36</v>
      </c>
      <c r="G45" s="1">
        <v>44502</v>
      </c>
      <c r="H45" t="s">
        <v>156</v>
      </c>
      <c r="I45" s="1">
        <v>44760</v>
      </c>
      <c r="J45" t="s">
        <v>31</v>
      </c>
      <c r="K45">
        <v>0</v>
      </c>
      <c r="L45" t="s">
        <v>62</v>
      </c>
      <c r="M45">
        <v>5</v>
      </c>
      <c r="N45" s="2">
        <f>Insurance_Dataset__3[[#This Row],[PolicyAge]]*Insurance_Dataset__3[[#This Row],[PREMIUM_AMOUNT]]</f>
        <v>286931.8</v>
      </c>
    </row>
    <row r="46" spans="1:17" hidden="1" x14ac:dyDescent="0.35">
      <c r="A46" t="s">
        <v>157</v>
      </c>
      <c r="B46" s="1">
        <v>41598</v>
      </c>
      <c r="C46" t="s">
        <v>158</v>
      </c>
      <c r="D46" s="1">
        <v>36510</v>
      </c>
      <c r="E46" t="s">
        <v>68</v>
      </c>
      <c r="F46">
        <v>99934.47</v>
      </c>
      <c r="G46" s="1">
        <v>44467</v>
      </c>
      <c r="H46" t="s">
        <v>159</v>
      </c>
      <c r="I46" s="1">
        <v>43802</v>
      </c>
      <c r="J46" t="s">
        <v>31</v>
      </c>
      <c r="K46">
        <v>0</v>
      </c>
      <c r="L46" t="s">
        <v>26</v>
      </c>
      <c r="M46">
        <v>12</v>
      </c>
      <c r="N46" s="2">
        <f>Insurance_Dataset__3[[#This Row],[PolicyAge]]*Insurance_Dataset__3[[#This Row],[PREMIUM_AMOUNT]]</f>
        <v>1199213.6400000001</v>
      </c>
    </row>
    <row r="47" spans="1:17" hidden="1" x14ac:dyDescent="0.35">
      <c r="A47" t="s">
        <v>160</v>
      </c>
      <c r="B47" s="1">
        <v>42107</v>
      </c>
      <c r="C47" t="s">
        <v>161</v>
      </c>
      <c r="D47" s="1">
        <v>21323</v>
      </c>
      <c r="E47" t="s">
        <v>20</v>
      </c>
      <c r="F47">
        <v>42928.03</v>
      </c>
      <c r="G47" s="1">
        <v>42854</v>
      </c>
      <c r="H47" t="s">
        <v>162</v>
      </c>
      <c r="I47" s="1">
        <v>43132</v>
      </c>
      <c r="J47" t="s">
        <v>49</v>
      </c>
      <c r="K47">
        <v>0</v>
      </c>
      <c r="L47" t="s">
        <v>17</v>
      </c>
      <c r="M47">
        <v>10</v>
      </c>
      <c r="N47" s="2">
        <f>Insurance_Dataset__3[[#This Row],[PolicyAge]]*Insurance_Dataset__3[[#This Row],[PREMIUM_AMOUNT]]</f>
        <v>429280.3</v>
      </c>
    </row>
    <row r="48" spans="1:17" hidden="1" x14ac:dyDescent="0.35">
      <c r="A48" t="s">
        <v>163</v>
      </c>
      <c r="B48" s="1">
        <v>43795</v>
      </c>
      <c r="C48" t="s">
        <v>164</v>
      </c>
      <c r="D48" s="1">
        <v>23583</v>
      </c>
      <c r="E48" t="s">
        <v>29</v>
      </c>
      <c r="F48">
        <v>19970.79</v>
      </c>
      <c r="G48" s="1">
        <v>44352</v>
      </c>
      <c r="H48" t="s">
        <v>165</v>
      </c>
      <c r="I48" s="1">
        <v>45438</v>
      </c>
      <c r="J48" t="s">
        <v>31</v>
      </c>
      <c r="K48">
        <v>0</v>
      </c>
      <c r="L48" t="s">
        <v>32</v>
      </c>
      <c r="M48">
        <v>6</v>
      </c>
      <c r="N48" s="2">
        <f>Insurance_Dataset__3[[#This Row],[PolicyAge]]*Insurance_Dataset__3[[#This Row],[PREMIUM_AMOUNT]]</f>
        <v>119824.74</v>
      </c>
    </row>
    <row r="49" spans="1:14" hidden="1" x14ac:dyDescent="0.35">
      <c r="A49" t="s">
        <v>166</v>
      </c>
      <c r="B49" s="1">
        <v>42772</v>
      </c>
      <c r="C49" t="s">
        <v>167</v>
      </c>
      <c r="D49" s="1">
        <v>25810</v>
      </c>
      <c r="E49" t="s">
        <v>24</v>
      </c>
      <c r="F49">
        <v>97338.77</v>
      </c>
      <c r="G49" s="1">
        <v>45376</v>
      </c>
      <c r="H49" t="s">
        <v>168</v>
      </c>
      <c r="I49" s="1">
        <v>44805</v>
      </c>
      <c r="J49" t="s">
        <v>16</v>
      </c>
      <c r="K49">
        <v>33994.080000000002</v>
      </c>
      <c r="L49" t="s">
        <v>62</v>
      </c>
      <c r="M49">
        <v>8</v>
      </c>
      <c r="N49" s="2">
        <f>Insurance_Dataset__3[[#This Row],[PolicyAge]]*Insurance_Dataset__3[[#This Row],[PREMIUM_AMOUNT]]</f>
        <v>778710.16</v>
      </c>
    </row>
    <row r="50" spans="1:14" hidden="1" x14ac:dyDescent="0.35">
      <c r="A50" t="s">
        <v>169</v>
      </c>
      <c r="B50" s="1">
        <v>38123</v>
      </c>
      <c r="C50" t="s">
        <v>170</v>
      </c>
      <c r="D50" s="1">
        <v>35050</v>
      </c>
      <c r="E50" t="s">
        <v>68</v>
      </c>
      <c r="F50">
        <v>44931.05</v>
      </c>
      <c r="G50" s="1">
        <v>45504</v>
      </c>
      <c r="H50" t="s">
        <v>171</v>
      </c>
      <c r="I50" s="1">
        <v>45236</v>
      </c>
      <c r="J50" t="s">
        <v>31</v>
      </c>
      <c r="K50">
        <v>0</v>
      </c>
      <c r="L50" t="s">
        <v>26</v>
      </c>
      <c r="M50">
        <v>21</v>
      </c>
      <c r="N50" s="2">
        <f>Insurance_Dataset__3[[#This Row],[PolicyAge]]*Insurance_Dataset__3[[#This Row],[PREMIUM_AMOUNT]]</f>
        <v>943552.05</v>
      </c>
    </row>
    <row r="51" spans="1:14" hidden="1" x14ac:dyDescent="0.35">
      <c r="A51" t="s">
        <v>172</v>
      </c>
      <c r="B51" s="1">
        <v>37009</v>
      </c>
      <c r="C51" t="s">
        <v>173</v>
      </c>
      <c r="D51" s="1">
        <v>38469</v>
      </c>
      <c r="E51" t="s">
        <v>68</v>
      </c>
      <c r="F51">
        <v>80593.509999999995</v>
      </c>
      <c r="G51" s="1">
        <v>42257</v>
      </c>
      <c r="H51" t="s">
        <v>174</v>
      </c>
      <c r="I51" s="1">
        <v>44046</v>
      </c>
      <c r="J51" t="s">
        <v>49</v>
      </c>
      <c r="K51">
        <v>0</v>
      </c>
      <c r="L51" t="s">
        <v>17</v>
      </c>
      <c r="M51">
        <v>24</v>
      </c>
      <c r="N51" s="2">
        <f>Insurance_Dataset__3[[#This Row],[PolicyAge]]*Insurance_Dataset__3[[#This Row],[PREMIUM_AMOUNT]]</f>
        <v>1934244.2399999998</v>
      </c>
    </row>
    <row r="52" spans="1:14" hidden="1" x14ac:dyDescent="0.35">
      <c r="A52" t="s">
        <v>175</v>
      </c>
      <c r="B52" s="1">
        <v>42956</v>
      </c>
      <c r="C52" t="s">
        <v>176</v>
      </c>
      <c r="D52" s="1">
        <v>37840</v>
      </c>
      <c r="E52" t="s">
        <v>24</v>
      </c>
      <c r="F52">
        <v>92447.9</v>
      </c>
      <c r="G52" s="1">
        <v>44378</v>
      </c>
      <c r="H52" t="s">
        <v>177</v>
      </c>
      <c r="I52" s="1">
        <v>44599</v>
      </c>
      <c r="J52" t="s">
        <v>49</v>
      </c>
      <c r="K52">
        <v>0</v>
      </c>
      <c r="L52" t="s">
        <v>26</v>
      </c>
      <c r="M52">
        <v>8</v>
      </c>
      <c r="N52" s="2">
        <f>Insurance_Dataset__3[[#This Row],[PolicyAge]]*Insurance_Dataset__3[[#This Row],[PREMIUM_AMOUNT]]</f>
        <v>739583.2</v>
      </c>
    </row>
    <row r="53" spans="1:14" hidden="1" x14ac:dyDescent="0.35">
      <c r="A53" t="s">
        <v>178</v>
      </c>
      <c r="B53" s="1">
        <v>42435</v>
      </c>
      <c r="C53" t="s">
        <v>179</v>
      </c>
      <c r="D53" s="1">
        <v>27989</v>
      </c>
      <c r="E53" t="s">
        <v>29</v>
      </c>
      <c r="F53">
        <v>62652.33</v>
      </c>
      <c r="G53" s="1">
        <v>43348</v>
      </c>
      <c r="H53" t="s">
        <v>180</v>
      </c>
      <c r="I53" s="1">
        <v>44169</v>
      </c>
      <c r="J53" t="s">
        <v>16</v>
      </c>
      <c r="K53">
        <v>33827.19</v>
      </c>
      <c r="L53" t="s">
        <v>26</v>
      </c>
      <c r="M53">
        <v>9</v>
      </c>
      <c r="N53" s="2">
        <f>Insurance_Dataset__3[[#This Row],[PolicyAge]]*Insurance_Dataset__3[[#This Row],[PREMIUM_AMOUNT]]</f>
        <v>563870.97</v>
      </c>
    </row>
    <row r="54" spans="1:14" hidden="1" x14ac:dyDescent="0.35">
      <c r="A54" t="s">
        <v>181</v>
      </c>
      <c r="B54" s="1">
        <v>39705</v>
      </c>
      <c r="C54" t="s">
        <v>182</v>
      </c>
      <c r="D54" s="1">
        <v>19955</v>
      </c>
      <c r="E54" t="s">
        <v>20</v>
      </c>
      <c r="F54">
        <v>30800.76</v>
      </c>
      <c r="G54" s="1">
        <v>39988</v>
      </c>
      <c r="H54" t="s">
        <v>183</v>
      </c>
      <c r="I54" s="1">
        <v>45477</v>
      </c>
      <c r="J54" t="s">
        <v>49</v>
      </c>
      <c r="K54">
        <v>0</v>
      </c>
      <c r="L54" t="s">
        <v>45</v>
      </c>
      <c r="M54">
        <v>17</v>
      </c>
      <c r="N54" s="2">
        <f>Insurance_Dataset__3[[#This Row],[PolicyAge]]*Insurance_Dataset__3[[#This Row],[PREMIUM_AMOUNT]]</f>
        <v>523612.92</v>
      </c>
    </row>
    <row r="55" spans="1:14" hidden="1" x14ac:dyDescent="0.35">
      <c r="A55" t="s">
        <v>184</v>
      </c>
      <c r="B55" s="1">
        <v>42072</v>
      </c>
      <c r="C55" t="s">
        <v>185</v>
      </c>
      <c r="D55" s="1">
        <v>26643</v>
      </c>
      <c r="E55" t="s">
        <v>29</v>
      </c>
      <c r="F55">
        <v>5180.37</v>
      </c>
      <c r="G55" s="1">
        <v>43838</v>
      </c>
      <c r="H55" t="s">
        <v>186</v>
      </c>
      <c r="I55" s="1">
        <v>45560</v>
      </c>
      <c r="J55" t="s">
        <v>31</v>
      </c>
      <c r="K55">
        <v>0</v>
      </c>
      <c r="L55" t="s">
        <v>62</v>
      </c>
      <c r="M55">
        <v>10</v>
      </c>
      <c r="N55" s="2">
        <f>Insurance_Dataset__3[[#This Row],[PolicyAge]]*Insurance_Dataset__3[[#This Row],[PREMIUM_AMOUNT]]</f>
        <v>51803.7</v>
      </c>
    </row>
    <row r="56" spans="1:14" hidden="1" x14ac:dyDescent="0.35">
      <c r="A56" t="s">
        <v>187</v>
      </c>
      <c r="B56" s="1">
        <v>40109</v>
      </c>
      <c r="C56" t="s">
        <v>188</v>
      </c>
      <c r="D56" s="1">
        <v>23942</v>
      </c>
      <c r="E56" t="s">
        <v>29</v>
      </c>
      <c r="F56">
        <v>70288.41</v>
      </c>
      <c r="G56" s="1">
        <v>45421</v>
      </c>
      <c r="H56" t="s">
        <v>189</v>
      </c>
      <c r="I56" s="1">
        <v>41320</v>
      </c>
      <c r="J56" t="s">
        <v>16</v>
      </c>
      <c r="K56">
        <v>30932.36</v>
      </c>
      <c r="L56" t="s">
        <v>32</v>
      </c>
      <c r="M56">
        <v>16</v>
      </c>
      <c r="N56" s="2">
        <f>Insurance_Dataset__3[[#This Row],[PolicyAge]]*Insurance_Dataset__3[[#This Row],[PREMIUM_AMOUNT]]</f>
        <v>1124614.56</v>
      </c>
    </row>
    <row r="57" spans="1:14" hidden="1" x14ac:dyDescent="0.35">
      <c r="A57" t="s">
        <v>190</v>
      </c>
      <c r="B57" s="1">
        <v>41438</v>
      </c>
      <c r="C57" t="s">
        <v>191</v>
      </c>
      <c r="D57" s="1">
        <v>20173</v>
      </c>
      <c r="E57" t="s">
        <v>20</v>
      </c>
      <c r="F57">
        <v>38452.97</v>
      </c>
      <c r="G57" s="1">
        <v>42525</v>
      </c>
      <c r="H57" t="s">
        <v>192</v>
      </c>
      <c r="I57" s="1">
        <v>43059</v>
      </c>
      <c r="J57" t="s">
        <v>16</v>
      </c>
      <c r="K57">
        <v>23069.68</v>
      </c>
      <c r="L57" t="s">
        <v>17</v>
      </c>
      <c r="M57">
        <v>12</v>
      </c>
      <c r="N57" s="2">
        <f>Insurance_Dataset__3[[#This Row],[PolicyAge]]*Insurance_Dataset__3[[#This Row],[PREMIUM_AMOUNT]]</f>
        <v>461435.64</v>
      </c>
    </row>
    <row r="58" spans="1:14" hidden="1" x14ac:dyDescent="0.35">
      <c r="A58" t="s">
        <v>193</v>
      </c>
      <c r="B58" s="1">
        <v>44665</v>
      </c>
      <c r="C58" t="s">
        <v>194</v>
      </c>
      <c r="D58" s="1">
        <v>29944</v>
      </c>
      <c r="E58" t="s">
        <v>20</v>
      </c>
      <c r="F58">
        <v>66346.77</v>
      </c>
      <c r="G58" s="1">
        <v>44847</v>
      </c>
      <c r="H58" t="s">
        <v>195</v>
      </c>
      <c r="I58" s="1">
        <v>44973</v>
      </c>
      <c r="J58" t="s">
        <v>49</v>
      </c>
      <c r="K58">
        <v>0</v>
      </c>
      <c r="L58" t="s">
        <v>26</v>
      </c>
      <c r="M58">
        <v>3</v>
      </c>
      <c r="N58" s="2">
        <f>Insurance_Dataset__3[[#This Row],[PolicyAge]]*Insurance_Dataset__3[[#This Row],[PREMIUM_AMOUNT]]</f>
        <v>199040.31</v>
      </c>
    </row>
    <row r="59" spans="1:14" hidden="1" x14ac:dyDescent="0.35">
      <c r="A59" t="s">
        <v>196</v>
      </c>
      <c r="B59" s="1">
        <v>38650</v>
      </c>
      <c r="C59" t="s">
        <v>197</v>
      </c>
      <c r="D59" s="1">
        <v>20488</v>
      </c>
      <c r="E59" t="s">
        <v>29</v>
      </c>
      <c r="F59">
        <v>69329.3</v>
      </c>
      <c r="G59" s="1">
        <v>44847</v>
      </c>
      <c r="H59" t="s">
        <v>198</v>
      </c>
      <c r="I59" s="1">
        <v>41848</v>
      </c>
      <c r="J59" t="s">
        <v>49</v>
      </c>
      <c r="K59">
        <v>0</v>
      </c>
      <c r="L59" t="s">
        <v>45</v>
      </c>
      <c r="M59">
        <v>20</v>
      </c>
      <c r="N59" s="2">
        <f>Insurance_Dataset__3[[#This Row],[PolicyAge]]*Insurance_Dataset__3[[#This Row],[PREMIUM_AMOUNT]]</f>
        <v>1386586</v>
      </c>
    </row>
    <row r="60" spans="1:14" hidden="1" x14ac:dyDescent="0.35">
      <c r="A60" t="s">
        <v>199</v>
      </c>
      <c r="B60" s="1">
        <v>37294</v>
      </c>
      <c r="C60" t="s">
        <v>200</v>
      </c>
      <c r="D60" s="1">
        <v>33188</v>
      </c>
      <c r="E60" t="s">
        <v>24</v>
      </c>
      <c r="F60">
        <v>51732.97</v>
      </c>
      <c r="G60" s="1">
        <v>42884</v>
      </c>
      <c r="H60" t="s">
        <v>201</v>
      </c>
      <c r="I60" s="1">
        <v>42480</v>
      </c>
      <c r="J60" t="s">
        <v>16</v>
      </c>
      <c r="K60">
        <v>10275.129999999999</v>
      </c>
      <c r="L60" t="s">
        <v>32</v>
      </c>
      <c r="M60">
        <v>23</v>
      </c>
      <c r="N60" s="2">
        <f>Insurance_Dataset__3[[#This Row],[PolicyAge]]*Insurance_Dataset__3[[#This Row],[PREMIUM_AMOUNT]]</f>
        <v>1189858.31</v>
      </c>
    </row>
    <row r="61" spans="1:14" hidden="1" x14ac:dyDescent="0.35">
      <c r="A61" t="s">
        <v>202</v>
      </c>
      <c r="B61" s="1">
        <v>39712</v>
      </c>
      <c r="C61" t="s">
        <v>203</v>
      </c>
      <c r="D61" s="1">
        <v>29926</v>
      </c>
      <c r="E61" t="s">
        <v>20</v>
      </c>
      <c r="F61">
        <v>71031.02</v>
      </c>
      <c r="G61" s="1">
        <v>43141</v>
      </c>
      <c r="H61" t="s">
        <v>204</v>
      </c>
      <c r="I61" s="1">
        <v>45590</v>
      </c>
      <c r="J61" t="s">
        <v>49</v>
      </c>
      <c r="K61">
        <v>0</v>
      </c>
      <c r="L61" t="s">
        <v>45</v>
      </c>
      <c r="M61">
        <v>17</v>
      </c>
      <c r="N61" s="2">
        <f>Insurance_Dataset__3[[#This Row],[PolicyAge]]*Insurance_Dataset__3[[#This Row],[PREMIUM_AMOUNT]]</f>
        <v>1207527.3400000001</v>
      </c>
    </row>
    <row r="62" spans="1:14" hidden="1" x14ac:dyDescent="0.35">
      <c r="A62" t="s">
        <v>205</v>
      </c>
      <c r="B62" s="1">
        <v>38050</v>
      </c>
      <c r="C62" t="s">
        <v>206</v>
      </c>
      <c r="D62" s="1">
        <v>27653</v>
      </c>
      <c r="E62" t="s">
        <v>24</v>
      </c>
      <c r="F62">
        <v>42510.8</v>
      </c>
      <c r="G62" s="1">
        <v>42357</v>
      </c>
      <c r="H62" t="s">
        <v>207</v>
      </c>
      <c r="I62" s="1">
        <v>44478</v>
      </c>
      <c r="J62" t="s">
        <v>31</v>
      </c>
      <c r="K62">
        <v>0</v>
      </c>
      <c r="L62" t="s">
        <v>62</v>
      </c>
      <c r="M62">
        <v>21</v>
      </c>
      <c r="N62" s="2">
        <f>Insurance_Dataset__3[[#This Row],[PolicyAge]]*Insurance_Dataset__3[[#This Row],[PREMIUM_AMOUNT]]</f>
        <v>892726.8</v>
      </c>
    </row>
    <row r="63" spans="1:14" x14ac:dyDescent="0.35">
      <c r="A63" t="s">
        <v>208</v>
      </c>
      <c r="B63" s="3">
        <v>43840</v>
      </c>
      <c r="C63" t="s">
        <v>209</v>
      </c>
      <c r="D63" s="1">
        <v>32388</v>
      </c>
      <c r="E63" t="s">
        <v>20</v>
      </c>
      <c r="F63">
        <v>34626.31</v>
      </c>
      <c r="G63" s="1">
        <v>44483</v>
      </c>
      <c r="H63" t="s">
        <v>210</v>
      </c>
      <c r="I63" s="1">
        <v>45181</v>
      </c>
      <c r="J63" t="s">
        <v>31</v>
      </c>
      <c r="K63">
        <v>0</v>
      </c>
      <c r="L63" t="s">
        <v>62</v>
      </c>
      <c r="M63">
        <v>5</v>
      </c>
      <c r="N63" s="2">
        <f>Insurance_Dataset__3[[#This Row],[PolicyAge]]*Insurance_Dataset__3[[#This Row],[PREMIUM_AMOUNT]]</f>
        <v>173131.55</v>
      </c>
    </row>
    <row r="64" spans="1:14" hidden="1" x14ac:dyDescent="0.35">
      <c r="A64" t="s">
        <v>211</v>
      </c>
      <c r="B64" s="1">
        <v>38411</v>
      </c>
      <c r="C64" t="s">
        <v>212</v>
      </c>
      <c r="D64" s="1">
        <v>28647</v>
      </c>
      <c r="E64" t="s">
        <v>20</v>
      </c>
      <c r="F64">
        <v>27587.69</v>
      </c>
      <c r="G64" s="1">
        <v>42137</v>
      </c>
      <c r="H64" t="s">
        <v>213</v>
      </c>
      <c r="I64" s="1">
        <v>38553</v>
      </c>
      <c r="J64" t="s">
        <v>49</v>
      </c>
      <c r="K64">
        <v>0</v>
      </c>
      <c r="L64" t="s">
        <v>32</v>
      </c>
      <c r="M64">
        <v>20</v>
      </c>
      <c r="N64" s="2">
        <f>Insurance_Dataset__3[[#This Row],[PolicyAge]]*Insurance_Dataset__3[[#This Row],[PREMIUM_AMOUNT]]</f>
        <v>551753.79999999993</v>
      </c>
    </row>
    <row r="65" spans="1:14" hidden="1" x14ac:dyDescent="0.35">
      <c r="A65" t="s">
        <v>214</v>
      </c>
      <c r="B65" s="1">
        <v>42591</v>
      </c>
      <c r="C65" t="s">
        <v>215</v>
      </c>
      <c r="D65" s="1">
        <v>18162</v>
      </c>
      <c r="E65" t="s">
        <v>24</v>
      </c>
      <c r="F65">
        <v>91081.96</v>
      </c>
      <c r="G65" s="1">
        <v>42652</v>
      </c>
      <c r="H65" t="s">
        <v>216</v>
      </c>
      <c r="I65" s="1">
        <v>44874</v>
      </c>
      <c r="J65" t="s">
        <v>31</v>
      </c>
      <c r="K65">
        <v>0</v>
      </c>
      <c r="L65" t="s">
        <v>62</v>
      </c>
      <c r="M65">
        <v>9</v>
      </c>
      <c r="N65" s="2">
        <f>Insurance_Dataset__3[[#This Row],[PolicyAge]]*Insurance_Dataset__3[[#This Row],[PREMIUM_AMOUNT]]</f>
        <v>819737.64</v>
      </c>
    </row>
    <row r="66" spans="1:14" hidden="1" x14ac:dyDescent="0.35">
      <c r="A66" t="s">
        <v>217</v>
      </c>
      <c r="B66" s="1">
        <v>44339</v>
      </c>
      <c r="C66" t="s">
        <v>218</v>
      </c>
      <c r="D66" s="1">
        <v>36382</v>
      </c>
      <c r="E66" t="s">
        <v>29</v>
      </c>
      <c r="F66">
        <v>51871.95</v>
      </c>
      <c r="G66" s="1">
        <v>45199</v>
      </c>
      <c r="H66" t="s">
        <v>219</v>
      </c>
      <c r="I66" s="1">
        <v>44958</v>
      </c>
      <c r="J66" t="s">
        <v>31</v>
      </c>
      <c r="K66">
        <v>0</v>
      </c>
      <c r="L66" t="s">
        <v>45</v>
      </c>
      <c r="M66">
        <v>4</v>
      </c>
      <c r="N66" s="2">
        <f>Insurance_Dataset__3[[#This Row],[PolicyAge]]*Insurance_Dataset__3[[#This Row],[PREMIUM_AMOUNT]]</f>
        <v>207487.8</v>
      </c>
    </row>
    <row r="67" spans="1:14" hidden="1" x14ac:dyDescent="0.35">
      <c r="A67" t="s">
        <v>220</v>
      </c>
      <c r="B67" s="1">
        <v>42349</v>
      </c>
      <c r="C67" t="s">
        <v>221</v>
      </c>
      <c r="D67" s="1">
        <v>25785</v>
      </c>
      <c r="E67" t="s">
        <v>20</v>
      </c>
      <c r="F67">
        <v>5335.95</v>
      </c>
      <c r="G67" s="1">
        <v>44961</v>
      </c>
      <c r="H67" t="s">
        <v>222</v>
      </c>
      <c r="I67" s="1">
        <v>43799</v>
      </c>
      <c r="J67" t="s">
        <v>49</v>
      </c>
      <c r="K67">
        <v>0</v>
      </c>
      <c r="L67" t="s">
        <v>62</v>
      </c>
      <c r="M67">
        <v>10</v>
      </c>
      <c r="N67" s="2">
        <f>Insurance_Dataset__3[[#This Row],[PolicyAge]]*Insurance_Dataset__3[[#This Row],[PREMIUM_AMOUNT]]</f>
        <v>53359.5</v>
      </c>
    </row>
    <row r="68" spans="1:14" hidden="1" x14ac:dyDescent="0.35">
      <c r="A68" t="s">
        <v>223</v>
      </c>
      <c r="B68" s="1">
        <v>41875</v>
      </c>
      <c r="C68" t="s">
        <v>224</v>
      </c>
      <c r="D68" s="1">
        <v>25492</v>
      </c>
      <c r="E68" t="s">
        <v>68</v>
      </c>
      <c r="F68">
        <v>9054.01</v>
      </c>
      <c r="G68" s="1">
        <v>43257</v>
      </c>
      <c r="H68" t="s">
        <v>225</v>
      </c>
      <c r="I68" s="1">
        <v>41892</v>
      </c>
      <c r="J68" t="s">
        <v>31</v>
      </c>
      <c r="K68">
        <v>0</v>
      </c>
      <c r="L68" t="s">
        <v>45</v>
      </c>
      <c r="M68">
        <v>11</v>
      </c>
      <c r="N68" s="2">
        <f>Insurance_Dataset__3[[#This Row],[PolicyAge]]*Insurance_Dataset__3[[#This Row],[PREMIUM_AMOUNT]]</f>
        <v>99594.11</v>
      </c>
    </row>
    <row r="69" spans="1:14" hidden="1" x14ac:dyDescent="0.35">
      <c r="A69" t="s">
        <v>226</v>
      </c>
      <c r="B69" s="1">
        <v>42288</v>
      </c>
      <c r="C69" t="s">
        <v>227</v>
      </c>
      <c r="D69" s="1">
        <v>27843</v>
      </c>
      <c r="E69" t="s">
        <v>14</v>
      </c>
      <c r="F69">
        <v>42471.38</v>
      </c>
      <c r="G69" s="1">
        <v>45073</v>
      </c>
      <c r="H69" t="s">
        <v>228</v>
      </c>
      <c r="I69" s="1">
        <v>45211</v>
      </c>
      <c r="J69" t="s">
        <v>49</v>
      </c>
      <c r="K69">
        <v>0</v>
      </c>
      <c r="L69" t="s">
        <v>62</v>
      </c>
      <c r="M69">
        <v>10</v>
      </c>
      <c r="N69" s="2">
        <f>Insurance_Dataset__3[[#This Row],[PolicyAge]]*Insurance_Dataset__3[[#This Row],[PREMIUM_AMOUNT]]</f>
        <v>424713.8</v>
      </c>
    </row>
    <row r="70" spans="1:14" hidden="1" x14ac:dyDescent="0.35">
      <c r="A70" t="s">
        <v>229</v>
      </c>
      <c r="B70" s="1">
        <v>40007</v>
      </c>
      <c r="C70" t="s">
        <v>230</v>
      </c>
      <c r="D70" s="1">
        <v>26419</v>
      </c>
      <c r="E70" t="s">
        <v>68</v>
      </c>
      <c r="F70">
        <v>87696.33</v>
      </c>
      <c r="G70" s="1">
        <v>43449</v>
      </c>
      <c r="H70" t="s">
        <v>231</v>
      </c>
      <c r="I70" s="1">
        <v>43737</v>
      </c>
      <c r="J70" t="s">
        <v>16</v>
      </c>
      <c r="K70">
        <v>52460.15</v>
      </c>
      <c r="L70" t="s">
        <v>26</v>
      </c>
      <c r="M70">
        <v>16</v>
      </c>
      <c r="N70" s="2">
        <f>Insurance_Dataset__3[[#This Row],[PolicyAge]]*Insurance_Dataset__3[[#This Row],[PREMIUM_AMOUNT]]</f>
        <v>1403141.28</v>
      </c>
    </row>
    <row r="71" spans="1:14" hidden="1" x14ac:dyDescent="0.35">
      <c r="A71" t="s">
        <v>232</v>
      </c>
      <c r="B71" s="1">
        <v>38996</v>
      </c>
      <c r="C71" t="s">
        <v>233</v>
      </c>
      <c r="D71" s="1">
        <v>30037</v>
      </c>
      <c r="E71" t="s">
        <v>24</v>
      </c>
      <c r="F71">
        <v>48006.7</v>
      </c>
      <c r="G71" s="1">
        <v>42109</v>
      </c>
      <c r="H71" t="s">
        <v>234</v>
      </c>
      <c r="I71" s="1">
        <v>43751</v>
      </c>
      <c r="J71" t="s">
        <v>49</v>
      </c>
      <c r="K71">
        <v>0</v>
      </c>
      <c r="L71" t="s">
        <v>32</v>
      </c>
      <c r="M71">
        <v>19</v>
      </c>
      <c r="N71" s="2">
        <f>Insurance_Dataset__3[[#This Row],[PolicyAge]]*Insurance_Dataset__3[[#This Row],[PREMIUM_AMOUNT]]</f>
        <v>912127.29999999993</v>
      </c>
    </row>
    <row r="72" spans="1:14" hidden="1" x14ac:dyDescent="0.35">
      <c r="A72" t="s">
        <v>235</v>
      </c>
      <c r="B72" s="1">
        <v>38215</v>
      </c>
      <c r="C72" t="s">
        <v>236</v>
      </c>
      <c r="D72" s="1">
        <v>27725</v>
      </c>
      <c r="E72" t="s">
        <v>14</v>
      </c>
      <c r="F72">
        <v>44827.86</v>
      </c>
      <c r="G72" s="1">
        <v>43808</v>
      </c>
      <c r="H72" t="s">
        <v>237</v>
      </c>
      <c r="I72" s="1">
        <v>42113</v>
      </c>
      <c r="J72" t="s">
        <v>16</v>
      </c>
      <c r="K72">
        <v>3009.98</v>
      </c>
      <c r="L72" t="s">
        <v>45</v>
      </c>
      <c r="M72">
        <v>21</v>
      </c>
      <c r="N72" s="2">
        <f>Insurance_Dataset__3[[#This Row],[PolicyAge]]*Insurance_Dataset__3[[#This Row],[PREMIUM_AMOUNT]]</f>
        <v>941385.06</v>
      </c>
    </row>
    <row r="73" spans="1:14" hidden="1" x14ac:dyDescent="0.35">
      <c r="A73" t="s">
        <v>238</v>
      </c>
      <c r="B73" s="1">
        <v>39223</v>
      </c>
      <c r="C73" t="s">
        <v>239</v>
      </c>
      <c r="D73" s="1">
        <v>28978</v>
      </c>
      <c r="E73" t="s">
        <v>20</v>
      </c>
      <c r="F73">
        <v>27156.99</v>
      </c>
      <c r="G73" s="1">
        <v>39764</v>
      </c>
      <c r="H73" t="s">
        <v>240</v>
      </c>
      <c r="I73" s="1">
        <v>44070</v>
      </c>
      <c r="J73" t="s">
        <v>49</v>
      </c>
      <c r="K73">
        <v>0</v>
      </c>
      <c r="L73" t="s">
        <v>45</v>
      </c>
      <c r="M73">
        <v>18</v>
      </c>
      <c r="N73" s="2">
        <f>Insurance_Dataset__3[[#This Row],[PolicyAge]]*Insurance_Dataset__3[[#This Row],[PREMIUM_AMOUNT]]</f>
        <v>488825.82</v>
      </c>
    </row>
    <row r="74" spans="1:14" hidden="1" x14ac:dyDescent="0.35">
      <c r="A74" t="s">
        <v>241</v>
      </c>
      <c r="B74" s="1">
        <v>36669</v>
      </c>
      <c r="C74" t="s">
        <v>242</v>
      </c>
      <c r="D74" s="1">
        <v>29059</v>
      </c>
      <c r="E74" t="s">
        <v>20</v>
      </c>
      <c r="F74">
        <v>76147.5</v>
      </c>
      <c r="G74" s="1">
        <v>39759</v>
      </c>
      <c r="H74" t="s">
        <v>243</v>
      </c>
      <c r="I74" s="1">
        <v>44168</v>
      </c>
      <c r="J74" t="s">
        <v>16</v>
      </c>
      <c r="K74">
        <v>59884.41</v>
      </c>
      <c r="L74" t="s">
        <v>45</v>
      </c>
      <c r="M74">
        <v>25</v>
      </c>
      <c r="N74" s="2">
        <f>Insurance_Dataset__3[[#This Row],[PolicyAge]]*Insurance_Dataset__3[[#This Row],[PREMIUM_AMOUNT]]</f>
        <v>1903687.5</v>
      </c>
    </row>
    <row r="75" spans="1:14" hidden="1" x14ac:dyDescent="0.35">
      <c r="A75" t="s">
        <v>244</v>
      </c>
      <c r="B75" s="1">
        <v>40629</v>
      </c>
      <c r="C75" t="s">
        <v>245</v>
      </c>
      <c r="D75" s="1">
        <v>38466</v>
      </c>
      <c r="E75" t="s">
        <v>20</v>
      </c>
      <c r="F75">
        <v>98879.83</v>
      </c>
      <c r="G75" s="1">
        <v>43368</v>
      </c>
      <c r="H75" t="s">
        <v>246</v>
      </c>
      <c r="I75" s="1">
        <v>41802</v>
      </c>
      <c r="J75" t="s">
        <v>31</v>
      </c>
      <c r="K75">
        <v>0</v>
      </c>
      <c r="L75" t="s">
        <v>62</v>
      </c>
      <c r="M75">
        <v>14</v>
      </c>
      <c r="N75" s="2">
        <f>Insurance_Dataset__3[[#This Row],[PolicyAge]]*Insurance_Dataset__3[[#This Row],[PREMIUM_AMOUNT]]</f>
        <v>1384317.62</v>
      </c>
    </row>
    <row r="76" spans="1:14" hidden="1" x14ac:dyDescent="0.35">
      <c r="A76" t="s">
        <v>247</v>
      </c>
      <c r="B76" s="1">
        <v>39864</v>
      </c>
      <c r="C76" t="s">
        <v>248</v>
      </c>
      <c r="D76" s="1">
        <v>26565</v>
      </c>
      <c r="E76" t="s">
        <v>14</v>
      </c>
      <c r="F76">
        <v>71223.3</v>
      </c>
      <c r="G76" s="1">
        <v>41692</v>
      </c>
      <c r="H76" t="s">
        <v>249</v>
      </c>
      <c r="I76" s="1">
        <v>44953</v>
      </c>
      <c r="J76" t="s">
        <v>16</v>
      </c>
      <c r="K76">
        <v>47504.68</v>
      </c>
      <c r="L76" t="s">
        <v>62</v>
      </c>
      <c r="M76">
        <v>16</v>
      </c>
      <c r="N76" s="2">
        <f>Insurance_Dataset__3[[#This Row],[PolicyAge]]*Insurance_Dataset__3[[#This Row],[PREMIUM_AMOUNT]]</f>
        <v>1139572.8</v>
      </c>
    </row>
    <row r="77" spans="1:14" hidden="1" x14ac:dyDescent="0.35">
      <c r="A77" t="s">
        <v>250</v>
      </c>
      <c r="B77" s="1">
        <v>40169</v>
      </c>
      <c r="C77" t="s">
        <v>251</v>
      </c>
      <c r="D77" s="1">
        <v>25063</v>
      </c>
      <c r="E77" t="s">
        <v>68</v>
      </c>
      <c r="F77">
        <v>41235</v>
      </c>
      <c r="G77" s="1">
        <v>41917</v>
      </c>
      <c r="H77" t="s">
        <v>252</v>
      </c>
      <c r="I77" s="1">
        <v>43003</v>
      </c>
      <c r="J77" t="s">
        <v>31</v>
      </c>
      <c r="K77">
        <v>0</v>
      </c>
      <c r="L77" t="s">
        <v>32</v>
      </c>
      <c r="M77">
        <v>16</v>
      </c>
      <c r="N77" s="2">
        <f>Insurance_Dataset__3[[#This Row],[PolicyAge]]*Insurance_Dataset__3[[#This Row],[PREMIUM_AMOUNT]]</f>
        <v>659760</v>
      </c>
    </row>
    <row r="78" spans="1:14" hidden="1" x14ac:dyDescent="0.35">
      <c r="A78" t="s">
        <v>253</v>
      </c>
      <c r="B78" s="1">
        <v>41638</v>
      </c>
      <c r="C78" t="s">
        <v>254</v>
      </c>
      <c r="D78" s="1">
        <v>21584</v>
      </c>
      <c r="E78" t="s">
        <v>29</v>
      </c>
      <c r="F78">
        <v>61656.38</v>
      </c>
      <c r="G78" s="1">
        <v>41725</v>
      </c>
      <c r="H78" t="s">
        <v>255</v>
      </c>
      <c r="I78" s="1">
        <v>43852</v>
      </c>
      <c r="J78" t="s">
        <v>31</v>
      </c>
      <c r="K78">
        <v>0</v>
      </c>
      <c r="L78" t="s">
        <v>45</v>
      </c>
      <c r="M78">
        <v>12</v>
      </c>
      <c r="N78" s="2">
        <f>Insurance_Dataset__3[[#This Row],[PolicyAge]]*Insurance_Dataset__3[[#This Row],[PREMIUM_AMOUNT]]</f>
        <v>739876.55999999994</v>
      </c>
    </row>
    <row r="79" spans="1:14" hidden="1" x14ac:dyDescent="0.35">
      <c r="A79" t="s">
        <v>256</v>
      </c>
      <c r="B79" s="1">
        <v>43372</v>
      </c>
      <c r="C79" t="s">
        <v>257</v>
      </c>
      <c r="D79" s="1">
        <v>25147</v>
      </c>
      <c r="E79" t="s">
        <v>29</v>
      </c>
      <c r="F79">
        <v>57834.17</v>
      </c>
      <c r="G79" s="1">
        <v>43635</v>
      </c>
      <c r="H79" t="s">
        <v>258</v>
      </c>
      <c r="I79" s="1">
        <v>45592</v>
      </c>
      <c r="J79" t="s">
        <v>31</v>
      </c>
      <c r="K79">
        <v>0</v>
      </c>
      <c r="L79" t="s">
        <v>45</v>
      </c>
      <c r="M79">
        <v>7</v>
      </c>
      <c r="N79" s="2">
        <f>Insurance_Dataset__3[[#This Row],[PolicyAge]]*Insurance_Dataset__3[[#This Row],[PREMIUM_AMOUNT]]</f>
        <v>404839.19</v>
      </c>
    </row>
    <row r="80" spans="1:14" x14ac:dyDescent="0.35">
      <c r="A80" t="s">
        <v>259</v>
      </c>
      <c r="B80" s="3">
        <v>43700</v>
      </c>
      <c r="C80" t="s">
        <v>260</v>
      </c>
      <c r="D80" s="1">
        <v>22860</v>
      </c>
      <c r="E80" t="s">
        <v>24</v>
      </c>
      <c r="F80">
        <v>8920.02</v>
      </c>
      <c r="G80" s="1">
        <v>45478</v>
      </c>
      <c r="H80" t="s">
        <v>261</v>
      </c>
      <c r="I80" s="1">
        <v>44087</v>
      </c>
      <c r="J80" t="s">
        <v>31</v>
      </c>
      <c r="K80">
        <v>0</v>
      </c>
      <c r="L80" t="s">
        <v>26</v>
      </c>
      <c r="M80">
        <v>6</v>
      </c>
      <c r="N80" s="2">
        <f>Insurance_Dataset__3[[#This Row],[PolicyAge]]*Insurance_Dataset__3[[#This Row],[PREMIUM_AMOUNT]]</f>
        <v>53520.12</v>
      </c>
    </row>
    <row r="81" spans="1:14" hidden="1" x14ac:dyDescent="0.35">
      <c r="A81" t="s">
        <v>262</v>
      </c>
      <c r="B81" s="1">
        <v>40992</v>
      </c>
      <c r="C81" t="s">
        <v>263</v>
      </c>
      <c r="D81" s="1">
        <v>27424</v>
      </c>
      <c r="E81" t="s">
        <v>24</v>
      </c>
      <c r="F81">
        <v>42240.77</v>
      </c>
      <c r="G81" s="1">
        <v>43739</v>
      </c>
      <c r="H81" t="s">
        <v>264</v>
      </c>
      <c r="I81" s="1">
        <v>44116</v>
      </c>
      <c r="J81" t="s">
        <v>16</v>
      </c>
      <c r="K81">
        <v>713.03</v>
      </c>
      <c r="L81" t="s">
        <v>26</v>
      </c>
      <c r="M81">
        <v>13</v>
      </c>
      <c r="N81" s="2">
        <f>Insurance_Dataset__3[[#This Row],[PolicyAge]]*Insurance_Dataset__3[[#This Row],[PREMIUM_AMOUNT]]</f>
        <v>549130.01</v>
      </c>
    </row>
    <row r="82" spans="1:14" hidden="1" x14ac:dyDescent="0.35">
      <c r="A82" t="s">
        <v>265</v>
      </c>
      <c r="B82" s="1">
        <v>42849</v>
      </c>
      <c r="C82" t="s">
        <v>266</v>
      </c>
      <c r="D82" s="1">
        <v>38916</v>
      </c>
      <c r="E82" t="s">
        <v>24</v>
      </c>
      <c r="F82">
        <v>51136.27</v>
      </c>
      <c r="G82" s="1">
        <v>44777</v>
      </c>
      <c r="H82" t="s">
        <v>267</v>
      </c>
      <c r="I82" s="1">
        <v>44366</v>
      </c>
      <c r="J82" t="s">
        <v>49</v>
      </c>
      <c r="K82">
        <v>0</v>
      </c>
      <c r="L82" t="s">
        <v>17</v>
      </c>
      <c r="M82">
        <v>8</v>
      </c>
      <c r="N82" s="2">
        <f>Insurance_Dataset__3[[#This Row],[PolicyAge]]*Insurance_Dataset__3[[#This Row],[PREMIUM_AMOUNT]]</f>
        <v>409090.16</v>
      </c>
    </row>
    <row r="83" spans="1:14" hidden="1" x14ac:dyDescent="0.35">
      <c r="A83" t="s">
        <v>268</v>
      </c>
      <c r="B83" s="1">
        <v>43870</v>
      </c>
      <c r="C83" t="s">
        <v>269</v>
      </c>
      <c r="D83" s="1">
        <v>18661</v>
      </c>
      <c r="E83" t="s">
        <v>68</v>
      </c>
      <c r="F83">
        <v>81638.039999999994</v>
      </c>
      <c r="G83" s="1">
        <v>44911</v>
      </c>
      <c r="H83" t="s">
        <v>270</v>
      </c>
      <c r="I83" s="1">
        <v>44024</v>
      </c>
      <c r="J83" t="s">
        <v>49</v>
      </c>
      <c r="K83">
        <v>0</v>
      </c>
      <c r="L83" t="s">
        <v>26</v>
      </c>
      <c r="M83">
        <v>5</v>
      </c>
      <c r="N83" s="2">
        <f>Insurance_Dataset__3[[#This Row],[PolicyAge]]*Insurance_Dataset__3[[#This Row],[PREMIUM_AMOUNT]]</f>
        <v>408190.19999999995</v>
      </c>
    </row>
    <row r="84" spans="1:14" x14ac:dyDescent="0.35">
      <c r="A84" t="s">
        <v>271</v>
      </c>
      <c r="B84" s="3">
        <v>43270</v>
      </c>
      <c r="C84" t="s">
        <v>272</v>
      </c>
      <c r="D84" s="1">
        <v>19652</v>
      </c>
      <c r="E84" t="s">
        <v>24</v>
      </c>
      <c r="F84">
        <v>34849.589999999997</v>
      </c>
      <c r="G84" s="1">
        <v>45546</v>
      </c>
      <c r="H84" t="s">
        <v>273</v>
      </c>
      <c r="I84" s="1">
        <v>43999</v>
      </c>
      <c r="J84" t="s">
        <v>31</v>
      </c>
      <c r="K84">
        <v>0</v>
      </c>
      <c r="L84" t="s">
        <v>62</v>
      </c>
      <c r="M84">
        <v>7</v>
      </c>
      <c r="N84" s="2">
        <f>Insurance_Dataset__3[[#This Row],[PolicyAge]]*Insurance_Dataset__3[[#This Row],[PREMIUM_AMOUNT]]</f>
        <v>243947.12999999998</v>
      </c>
    </row>
    <row r="85" spans="1:14" hidden="1" x14ac:dyDescent="0.35">
      <c r="A85" t="s">
        <v>274</v>
      </c>
      <c r="B85" s="1">
        <v>43042</v>
      </c>
      <c r="C85" t="s">
        <v>275</v>
      </c>
      <c r="D85" s="1">
        <v>38346</v>
      </c>
      <c r="E85" t="s">
        <v>29</v>
      </c>
      <c r="F85">
        <v>44260.3</v>
      </c>
      <c r="G85" s="1">
        <v>43185</v>
      </c>
      <c r="H85" t="s">
        <v>276</v>
      </c>
      <c r="I85" s="1">
        <v>43119</v>
      </c>
      <c r="J85" t="s">
        <v>31</v>
      </c>
      <c r="K85">
        <v>0</v>
      </c>
      <c r="L85" t="s">
        <v>17</v>
      </c>
      <c r="M85">
        <v>8</v>
      </c>
      <c r="N85" s="2">
        <f>Insurance_Dataset__3[[#This Row],[PolicyAge]]*Insurance_Dataset__3[[#This Row],[PREMIUM_AMOUNT]]</f>
        <v>354082.4</v>
      </c>
    </row>
    <row r="86" spans="1:14" hidden="1" x14ac:dyDescent="0.35">
      <c r="A86" t="s">
        <v>277</v>
      </c>
      <c r="B86" s="1">
        <v>39873</v>
      </c>
      <c r="C86" t="s">
        <v>278</v>
      </c>
      <c r="D86" s="1">
        <v>21817</v>
      </c>
      <c r="E86" t="s">
        <v>24</v>
      </c>
      <c r="F86">
        <v>55481.77</v>
      </c>
      <c r="G86" s="1">
        <v>45508</v>
      </c>
      <c r="H86" t="s">
        <v>279</v>
      </c>
      <c r="I86" s="1">
        <v>43504</v>
      </c>
      <c r="J86" t="s">
        <v>16</v>
      </c>
      <c r="K86">
        <v>3482.84</v>
      </c>
      <c r="L86" t="s">
        <v>45</v>
      </c>
      <c r="M86">
        <v>16</v>
      </c>
      <c r="N86" s="2">
        <f>Insurance_Dataset__3[[#This Row],[PolicyAge]]*Insurance_Dataset__3[[#This Row],[PREMIUM_AMOUNT]]</f>
        <v>887708.32</v>
      </c>
    </row>
    <row r="87" spans="1:14" hidden="1" x14ac:dyDescent="0.35">
      <c r="A87" t="s">
        <v>280</v>
      </c>
      <c r="B87" s="1">
        <v>38470</v>
      </c>
      <c r="C87" t="s">
        <v>281</v>
      </c>
      <c r="D87" s="1">
        <v>21296</v>
      </c>
      <c r="E87" t="s">
        <v>29</v>
      </c>
      <c r="F87">
        <v>34425.440000000002</v>
      </c>
      <c r="G87" s="1">
        <v>43642</v>
      </c>
      <c r="H87" t="s">
        <v>282</v>
      </c>
      <c r="I87" s="1">
        <v>43239</v>
      </c>
      <c r="J87" t="s">
        <v>16</v>
      </c>
      <c r="K87">
        <v>7476.21</v>
      </c>
      <c r="L87" t="s">
        <v>32</v>
      </c>
      <c r="M87">
        <v>20</v>
      </c>
      <c r="N87" s="2">
        <f>Insurance_Dataset__3[[#This Row],[PolicyAge]]*Insurance_Dataset__3[[#This Row],[PREMIUM_AMOUNT]]</f>
        <v>688508.8</v>
      </c>
    </row>
    <row r="88" spans="1:14" hidden="1" x14ac:dyDescent="0.35">
      <c r="A88" t="s">
        <v>283</v>
      </c>
      <c r="B88" s="1">
        <v>42495</v>
      </c>
      <c r="C88" t="s">
        <v>284</v>
      </c>
      <c r="D88" s="1">
        <v>33488</v>
      </c>
      <c r="E88" t="s">
        <v>68</v>
      </c>
      <c r="F88">
        <v>73815.92</v>
      </c>
      <c r="G88" s="1">
        <v>44330</v>
      </c>
      <c r="H88" t="s">
        <v>285</v>
      </c>
      <c r="I88" s="1">
        <v>44246</v>
      </c>
      <c r="J88" t="s">
        <v>16</v>
      </c>
      <c r="K88">
        <v>60532.06</v>
      </c>
      <c r="L88" t="s">
        <v>26</v>
      </c>
      <c r="M88">
        <v>9</v>
      </c>
      <c r="N88" s="2">
        <f>Insurance_Dataset__3[[#This Row],[PolicyAge]]*Insurance_Dataset__3[[#This Row],[PREMIUM_AMOUNT]]</f>
        <v>664343.28</v>
      </c>
    </row>
    <row r="89" spans="1:14" hidden="1" x14ac:dyDescent="0.35">
      <c r="A89" t="s">
        <v>286</v>
      </c>
      <c r="B89" s="1">
        <v>40786</v>
      </c>
      <c r="C89" t="s">
        <v>287</v>
      </c>
      <c r="D89" s="1">
        <v>25443</v>
      </c>
      <c r="E89" t="s">
        <v>68</v>
      </c>
      <c r="F89">
        <v>28179.41</v>
      </c>
      <c r="G89" s="1">
        <v>42188</v>
      </c>
      <c r="H89" t="s">
        <v>288</v>
      </c>
      <c r="I89" s="1">
        <v>44476</v>
      </c>
      <c r="J89" t="s">
        <v>49</v>
      </c>
      <c r="K89">
        <v>0</v>
      </c>
      <c r="L89" t="s">
        <v>32</v>
      </c>
      <c r="M89">
        <v>14</v>
      </c>
      <c r="N89" s="2">
        <f>Insurance_Dataset__3[[#This Row],[PolicyAge]]*Insurance_Dataset__3[[#This Row],[PREMIUM_AMOUNT]]</f>
        <v>394511.74</v>
      </c>
    </row>
    <row r="90" spans="1:14" hidden="1" x14ac:dyDescent="0.35">
      <c r="A90" t="s">
        <v>289</v>
      </c>
      <c r="B90" s="1">
        <v>40555</v>
      </c>
      <c r="C90" t="s">
        <v>290</v>
      </c>
      <c r="D90" s="1">
        <v>20609</v>
      </c>
      <c r="E90" t="s">
        <v>14</v>
      </c>
      <c r="F90">
        <v>84339.01</v>
      </c>
      <c r="G90" s="1">
        <v>45379</v>
      </c>
      <c r="H90" t="s">
        <v>291</v>
      </c>
      <c r="I90" s="1">
        <v>42690</v>
      </c>
      <c r="J90" t="s">
        <v>31</v>
      </c>
      <c r="K90">
        <v>0</v>
      </c>
      <c r="L90" t="s">
        <v>62</v>
      </c>
      <c r="M90">
        <v>14</v>
      </c>
      <c r="N90" s="2">
        <f>Insurance_Dataset__3[[#This Row],[PolicyAge]]*Insurance_Dataset__3[[#This Row],[PREMIUM_AMOUNT]]</f>
        <v>1180746.1399999999</v>
      </c>
    </row>
    <row r="91" spans="1:14" hidden="1" x14ac:dyDescent="0.35">
      <c r="A91" t="s">
        <v>292</v>
      </c>
      <c r="B91" s="1">
        <v>40903</v>
      </c>
      <c r="C91" t="s">
        <v>293</v>
      </c>
      <c r="D91" s="1">
        <v>29809</v>
      </c>
      <c r="E91" t="s">
        <v>29</v>
      </c>
      <c r="F91">
        <v>79153.649999999994</v>
      </c>
      <c r="G91" s="1">
        <v>44395</v>
      </c>
      <c r="H91" t="s">
        <v>294</v>
      </c>
      <c r="I91" s="1">
        <v>41089</v>
      </c>
      <c r="J91" t="s">
        <v>49</v>
      </c>
      <c r="K91">
        <v>0</v>
      </c>
      <c r="L91" t="s">
        <v>62</v>
      </c>
      <c r="M91">
        <v>14</v>
      </c>
      <c r="N91" s="2">
        <f>Insurance_Dataset__3[[#This Row],[PolicyAge]]*Insurance_Dataset__3[[#This Row],[PREMIUM_AMOUNT]]</f>
        <v>1108151.0999999999</v>
      </c>
    </row>
    <row r="92" spans="1:14" hidden="1" x14ac:dyDescent="0.35">
      <c r="A92" t="s">
        <v>295</v>
      </c>
      <c r="B92" s="1">
        <v>42466</v>
      </c>
      <c r="C92" t="s">
        <v>296</v>
      </c>
      <c r="D92" s="1">
        <v>26677</v>
      </c>
      <c r="E92" t="s">
        <v>68</v>
      </c>
      <c r="F92">
        <v>77438.05</v>
      </c>
      <c r="G92" s="1">
        <v>43255</v>
      </c>
      <c r="H92" t="s">
        <v>297</v>
      </c>
      <c r="I92" s="1">
        <v>45079</v>
      </c>
      <c r="J92" t="s">
        <v>16</v>
      </c>
      <c r="K92">
        <v>59537.21</v>
      </c>
      <c r="L92" t="s">
        <v>26</v>
      </c>
      <c r="M92">
        <v>9</v>
      </c>
      <c r="N92" s="2">
        <f>Insurance_Dataset__3[[#This Row],[PolicyAge]]*Insurance_Dataset__3[[#This Row],[PREMIUM_AMOUNT]]</f>
        <v>696942.45000000007</v>
      </c>
    </row>
    <row r="93" spans="1:14" hidden="1" x14ac:dyDescent="0.35">
      <c r="A93" t="s">
        <v>298</v>
      </c>
      <c r="B93" s="1">
        <v>39238</v>
      </c>
      <c r="C93" t="s">
        <v>299</v>
      </c>
      <c r="D93" s="1">
        <v>37234</v>
      </c>
      <c r="E93" t="s">
        <v>68</v>
      </c>
      <c r="F93">
        <v>66854.080000000002</v>
      </c>
      <c r="G93" s="1">
        <v>40007</v>
      </c>
      <c r="H93" t="s">
        <v>300</v>
      </c>
      <c r="I93" s="1">
        <v>44981</v>
      </c>
      <c r="J93" t="s">
        <v>49</v>
      </c>
      <c r="K93">
        <v>0</v>
      </c>
      <c r="L93" t="s">
        <v>32</v>
      </c>
      <c r="M93">
        <v>18</v>
      </c>
      <c r="N93" s="2">
        <f>Insurance_Dataset__3[[#This Row],[PolicyAge]]*Insurance_Dataset__3[[#This Row],[PREMIUM_AMOUNT]]</f>
        <v>1203373.44</v>
      </c>
    </row>
    <row r="94" spans="1:14" x14ac:dyDescent="0.35">
      <c r="A94" t="s">
        <v>301</v>
      </c>
      <c r="B94" s="3">
        <v>43851</v>
      </c>
      <c r="C94" t="s">
        <v>302</v>
      </c>
      <c r="D94" s="1">
        <v>35671</v>
      </c>
      <c r="E94" t="s">
        <v>24</v>
      </c>
      <c r="F94">
        <v>39043.769999999997</v>
      </c>
      <c r="G94" s="1">
        <v>44083</v>
      </c>
      <c r="H94" t="s">
        <v>303</v>
      </c>
      <c r="I94" s="1">
        <v>43867</v>
      </c>
      <c r="J94" t="s">
        <v>16</v>
      </c>
      <c r="K94">
        <v>37841.199999999997</v>
      </c>
      <c r="L94" t="s">
        <v>32</v>
      </c>
      <c r="M94">
        <v>5</v>
      </c>
      <c r="N94" s="2">
        <f>Insurance_Dataset__3[[#This Row],[PolicyAge]]*Insurance_Dataset__3[[#This Row],[PREMIUM_AMOUNT]]</f>
        <v>195218.84999999998</v>
      </c>
    </row>
    <row r="95" spans="1:14" hidden="1" x14ac:dyDescent="0.35">
      <c r="A95" t="s">
        <v>304</v>
      </c>
      <c r="B95" s="1">
        <v>42092</v>
      </c>
      <c r="C95" t="s">
        <v>305</v>
      </c>
      <c r="D95" s="1">
        <v>25508</v>
      </c>
      <c r="E95" t="s">
        <v>20</v>
      </c>
      <c r="F95">
        <v>77870.95</v>
      </c>
      <c r="G95" s="1">
        <v>43023</v>
      </c>
      <c r="H95" t="s">
        <v>306</v>
      </c>
      <c r="I95" s="1">
        <v>44375</v>
      </c>
      <c r="J95" t="s">
        <v>49</v>
      </c>
      <c r="K95">
        <v>0</v>
      </c>
      <c r="L95" t="s">
        <v>45</v>
      </c>
      <c r="M95">
        <v>10</v>
      </c>
      <c r="N95" s="2">
        <f>Insurance_Dataset__3[[#This Row],[PolicyAge]]*Insurance_Dataset__3[[#This Row],[PREMIUM_AMOUNT]]</f>
        <v>778709.5</v>
      </c>
    </row>
    <row r="96" spans="1:14" hidden="1" x14ac:dyDescent="0.35">
      <c r="A96" t="s">
        <v>307</v>
      </c>
      <c r="B96" s="1">
        <v>41099</v>
      </c>
      <c r="C96" t="s">
        <v>308</v>
      </c>
      <c r="D96" s="1">
        <v>33881</v>
      </c>
      <c r="E96" t="s">
        <v>29</v>
      </c>
      <c r="F96">
        <v>98460.08</v>
      </c>
      <c r="G96" s="1">
        <v>41530</v>
      </c>
      <c r="H96" t="s">
        <v>309</v>
      </c>
      <c r="I96" s="1">
        <v>45076</v>
      </c>
      <c r="J96" t="s">
        <v>16</v>
      </c>
      <c r="K96">
        <v>70737.88</v>
      </c>
      <c r="L96" t="s">
        <v>26</v>
      </c>
      <c r="M96">
        <v>13</v>
      </c>
      <c r="N96" s="2">
        <f>Insurance_Dataset__3[[#This Row],[PolicyAge]]*Insurance_Dataset__3[[#This Row],[PREMIUM_AMOUNT]]</f>
        <v>1279981.04</v>
      </c>
    </row>
    <row r="97" spans="1:14" hidden="1" x14ac:dyDescent="0.35">
      <c r="A97" t="s">
        <v>310</v>
      </c>
      <c r="B97" s="1">
        <v>42135</v>
      </c>
      <c r="C97" t="s">
        <v>311</v>
      </c>
      <c r="D97" s="1">
        <v>18345</v>
      </c>
      <c r="E97" t="s">
        <v>20</v>
      </c>
      <c r="F97">
        <v>89675.87</v>
      </c>
      <c r="G97" s="1">
        <v>44461</v>
      </c>
      <c r="H97" t="s">
        <v>312</v>
      </c>
      <c r="I97" s="1">
        <v>42379</v>
      </c>
      <c r="J97" t="s">
        <v>16</v>
      </c>
      <c r="K97">
        <v>75808.62</v>
      </c>
      <c r="L97" t="s">
        <v>62</v>
      </c>
      <c r="M97">
        <v>10</v>
      </c>
      <c r="N97" s="2">
        <f>Insurance_Dataset__3[[#This Row],[PolicyAge]]*Insurance_Dataset__3[[#This Row],[PREMIUM_AMOUNT]]</f>
        <v>896758.7</v>
      </c>
    </row>
    <row r="98" spans="1:14" hidden="1" x14ac:dyDescent="0.35">
      <c r="A98" t="s">
        <v>313</v>
      </c>
      <c r="B98" s="1">
        <v>42157</v>
      </c>
      <c r="C98" t="s">
        <v>314</v>
      </c>
      <c r="D98" s="1">
        <v>37852</v>
      </c>
      <c r="E98" t="s">
        <v>24</v>
      </c>
      <c r="F98">
        <v>47704.24</v>
      </c>
      <c r="G98" s="1">
        <v>43971</v>
      </c>
      <c r="H98" t="s">
        <v>315</v>
      </c>
      <c r="I98" s="1">
        <v>43557</v>
      </c>
      <c r="J98" t="s">
        <v>16</v>
      </c>
      <c r="K98">
        <v>8969.61</v>
      </c>
      <c r="L98" t="s">
        <v>32</v>
      </c>
      <c r="M98">
        <v>10</v>
      </c>
      <c r="N98" s="2">
        <f>Insurance_Dataset__3[[#This Row],[PolicyAge]]*Insurance_Dataset__3[[#This Row],[PREMIUM_AMOUNT]]</f>
        <v>477042.39999999997</v>
      </c>
    </row>
    <row r="99" spans="1:14" hidden="1" x14ac:dyDescent="0.35">
      <c r="A99" t="s">
        <v>316</v>
      </c>
      <c r="B99" s="1">
        <v>38015</v>
      </c>
      <c r="C99" t="s">
        <v>317</v>
      </c>
      <c r="D99" s="1">
        <v>24319</v>
      </c>
      <c r="E99" t="s">
        <v>24</v>
      </c>
      <c r="F99">
        <v>12621.68</v>
      </c>
      <c r="G99" s="1">
        <v>43376</v>
      </c>
      <c r="H99" t="s">
        <v>318</v>
      </c>
      <c r="I99" s="1">
        <v>44787</v>
      </c>
      <c r="J99" t="s">
        <v>49</v>
      </c>
      <c r="K99">
        <v>0</v>
      </c>
      <c r="L99" t="s">
        <v>62</v>
      </c>
      <c r="M99">
        <v>21</v>
      </c>
      <c r="N99" s="2">
        <f>Insurance_Dataset__3[[#This Row],[PolicyAge]]*Insurance_Dataset__3[[#This Row],[PREMIUM_AMOUNT]]</f>
        <v>265055.28000000003</v>
      </c>
    </row>
    <row r="100" spans="1:14" hidden="1" x14ac:dyDescent="0.35">
      <c r="A100" t="s">
        <v>319</v>
      </c>
      <c r="B100" s="1">
        <v>39046</v>
      </c>
      <c r="C100" t="s">
        <v>320</v>
      </c>
      <c r="D100" s="1">
        <v>30699</v>
      </c>
      <c r="E100" t="s">
        <v>24</v>
      </c>
      <c r="F100">
        <v>63229.79</v>
      </c>
      <c r="G100" s="1">
        <v>44706</v>
      </c>
      <c r="H100" t="s">
        <v>321</v>
      </c>
      <c r="I100" s="1">
        <v>42300</v>
      </c>
      <c r="J100" t="s">
        <v>49</v>
      </c>
      <c r="K100">
        <v>0</v>
      </c>
      <c r="L100" t="s">
        <v>45</v>
      </c>
      <c r="M100">
        <v>19</v>
      </c>
      <c r="N100" s="2">
        <f>Insurance_Dataset__3[[#This Row],[PolicyAge]]*Insurance_Dataset__3[[#This Row],[PREMIUM_AMOUNT]]</f>
        <v>1201366.01</v>
      </c>
    </row>
    <row r="101" spans="1:14" hidden="1" x14ac:dyDescent="0.35">
      <c r="A101" t="s">
        <v>322</v>
      </c>
      <c r="B101" s="1">
        <v>38660</v>
      </c>
      <c r="C101" t="s">
        <v>323</v>
      </c>
      <c r="D101" s="1">
        <v>18043</v>
      </c>
      <c r="E101" t="s">
        <v>29</v>
      </c>
      <c r="F101">
        <v>56139.07</v>
      </c>
      <c r="G101" s="1">
        <v>40363</v>
      </c>
      <c r="H101" t="s">
        <v>324</v>
      </c>
      <c r="I101" s="1">
        <v>42090</v>
      </c>
      <c r="J101" t="s">
        <v>49</v>
      </c>
      <c r="K101">
        <v>0</v>
      </c>
      <c r="L101" t="s">
        <v>32</v>
      </c>
      <c r="M101">
        <v>20</v>
      </c>
      <c r="N101" s="2">
        <f>Insurance_Dataset__3[[#This Row],[PolicyAge]]*Insurance_Dataset__3[[#This Row],[PREMIUM_AMOUNT]]</f>
        <v>1122781.3999999999</v>
      </c>
    </row>
  </sheetData>
  <conditionalFormatting sqref="N1:N1048576">
    <cfRule type="dataBar" priority="6">
      <dataBar>
        <cfvo type="min"/>
        <cfvo type="max"/>
        <color rgb="FF638EC6"/>
      </dataBar>
      <extLst>
        <ext xmlns:x14="http://schemas.microsoft.com/office/spreadsheetml/2009/9/main" uri="{B025F937-C7B1-47D3-B67F-A62EFF666E3E}">
          <x14:id>{43F3D7C6-873D-4157-96B7-B98BF0E88136}</x14:id>
        </ext>
      </extLst>
    </cfRule>
  </conditionalFormatting>
  <conditionalFormatting sqref="J1:J1048576">
    <cfRule type="iconSet" priority="5">
      <iconSet iconSet="3Symbols">
        <cfvo type="percent" val="0"/>
        <cfvo type="percent" val="33"/>
        <cfvo type="percent" val="67"/>
      </iconSet>
    </cfRule>
    <cfRule type="iconSet" priority="4">
      <iconSet iconSet="5Arrows">
        <cfvo type="percent" val="0"/>
        <cfvo type="percent" val="20"/>
        <cfvo type="percent" val="40"/>
        <cfvo type="percent" val="60"/>
        <cfvo type="percent" val="80"/>
      </iconSet>
    </cfRule>
    <cfRule type="cellIs" dxfId="0" priority="3" operator="equal">
      <formula>"approved"</formula>
    </cfRule>
    <cfRule type="cellIs" dxfId="1" priority="2" operator="equal">
      <formula>"rejected"</formula>
    </cfRule>
  </conditionalFormatting>
  <conditionalFormatting sqref="K1:K1048576">
    <cfRule type="iconSet" priority="1">
      <iconSet iconSet="3Symbols2">
        <cfvo type="percent" val="0"/>
        <cfvo type="percent" val="1"/>
        <cfvo type="percent" val="1"/>
      </iconSe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3F3D7C6-873D-4157-96B7-B98BF0E88136}">
            <x14:dataBar minLength="0" maxLength="100" gradient="0">
              <x14:cfvo type="autoMin"/>
              <x14:cfvo type="autoMax"/>
              <x14:negativeFillColor rgb="FFFF0000"/>
              <x14:axisColor rgb="FF000000"/>
            </x14:dataBar>
          </x14:cfRule>
          <xm:sqref>N1:N1048576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A3AC72-AEC5-4787-B5DC-5833921CFB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2026-02-02T19:50:49Z</dcterms:modified>
</cp:coreProperties>
</file>